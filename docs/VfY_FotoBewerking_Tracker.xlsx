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tables/table1.xml" ContentType="application/vnd.openxmlformats-officedocument.spreadsheetml.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xl/webextensions/taskpanes.xml" ContentType="application/vnd.ms-office.webextensiontaskpanes+xml"/>
  <Override PartName="/xl/webextensions/webextension1.xml" ContentType="application/vnd.ms-office.webextension+xml"/>
  <Override PartName="/xl/webextensions/webextension2.xml" ContentType="application/vnd.ms-office.webextensio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5" Type="http://schemas.microsoft.com/office/2011/relationships/webextensiontaskpanes" Target="xl/webextensions/taskpanes.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7"/>
  <workbookPr codeName="ThisWorkbook"/>
  <mc:AlternateContent xmlns:mc="http://schemas.openxmlformats.org/markup-compatibility/2006">
    <mc:Choice Requires="x15">
      <x15ac:absPath xmlns:x15ac="http://schemas.microsoft.com/office/spreadsheetml/2010/11/ac" url="https://villaforyou-my.sharepoint.com/personal/wouter_manintveld_villaforyou_com/Documents/"/>
    </mc:Choice>
  </mc:AlternateContent>
  <xr:revisionPtr revIDLastSave="0" documentId="8_{BA7578FC-CCFD-4DED-93AA-64FC572E8BC3}" xr6:coauthVersionLast="47" xr6:coauthVersionMax="47" xr10:uidLastSave="{00000000-0000-0000-0000-000000000000}"/>
  <bookViews>
    <workbookView xWindow="-108" yWindow="-108" windowWidth="23256" windowHeight="12576" tabRatio="500" xr2:uid="{00000000-000D-0000-FFFF-FFFF00000000}"/>
  </bookViews>
  <sheets>
    <sheet name="Tracker" sheetId="5" r:id="rId1"/>
    <sheet name="Work tracker_OLD" sheetId="1" state="hidden" r:id="rId2"/>
    <sheet name="Legenda" sheetId="3" r:id="rId3"/>
    <sheet name="Dashboard" sheetId="6" r:id="rId4"/>
  </sheets>
  <definedNames>
    <definedName name="_xlnm._FilterDatabase" localSheetId="0" hidden="1">Tracker!$Q$4:$Q$356</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loext="http://schemas.libreoffice.org/" uri="{7626C862-2A13-11E5-B345-FEFF819CDC9F}">
      <loext:extCalcPr stringRefSyntax="ExcelA1"/>
    </ext>
  </extLst>
</workbook>
</file>

<file path=xl/calcChain.xml><?xml version="1.0" encoding="utf-8"?>
<calcChain xmlns="http://schemas.openxmlformats.org/spreadsheetml/2006/main">
  <c r="I129" i="5" l="1" a="1"/>
  <c r="I85" i="5" a="1"/>
  <c r="I83" i="5" a="1"/>
  <c r="I84" i="5" a="1"/>
  <c r="I82" i="5" a="1"/>
  <c r="I125" i="5" a="1"/>
  <c r="K23" i="6" a="1"/>
  <c r="H23" i="6"/>
  <c r="F23" i="6"/>
  <c r="E23" i="6"/>
  <c r="I23" i="6" s="1"/>
  <c r="C23" i="6"/>
  <c r="K22" i="6" a="1"/>
  <c r="H22" i="6"/>
  <c r="F22" i="6"/>
  <c r="E22" i="6"/>
  <c r="C22" i="6"/>
  <c r="B57" i="6" a="1"/>
  <c r="B71" i="6"/>
  <c r="K21" i="6" a="1"/>
  <c r="K20" i="6" a="1"/>
  <c r="H7" i="6" a="1"/>
  <c r="K34" i="6"/>
  <c r="K33" i="6"/>
  <c r="K32" i="6"/>
  <c r="K31" i="6"/>
  <c r="K30" i="6"/>
  <c r="K29" i="6"/>
  <c r="K28" i="6"/>
  <c r="F2" i="5"/>
  <c r="I15" i="6"/>
  <c r="K15" i="6"/>
  <c r="L15" i="6" s="1"/>
  <c r="B8" i="6"/>
  <c r="S17" i="6"/>
  <c r="S16" i="6"/>
  <c r="S15" i="6"/>
  <c r="S14" i="6"/>
  <c r="S13" i="6"/>
  <c r="S12" i="6"/>
  <c r="S11" i="6"/>
  <c r="S10" i="6"/>
  <c r="S9" i="6"/>
  <c r="S8" i="6"/>
  <c r="S7" i="6"/>
  <c r="S6" i="6"/>
  <c r="S5" i="6"/>
  <c r="S4" i="6"/>
  <c r="S3" i="6"/>
  <c r="S2" i="6"/>
  <c r="S1" i="6"/>
  <c r="C21" i="6"/>
  <c r="C20" i="6"/>
  <c r="C24" i="6" s="1"/>
  <c r="I14" i="6"/>
  <c r="I13" i="6"/>
  <c r="I12" i="6"/>
  <c r="K12" i="6" s="1"/>
  <c r="L12" i="6" s="1"/>
  <c r="E8" i="6"/>
  <c r="E7" i="6"/>
  <c r="B7" i="6"/>
  <c r="H21" i="6"/>
  <c r="F21" i="6"/>
  <c r="E21" i="6"/>
  <c r="I21" i="6" s="1"/>
  <c r="H20" i="6"/>
  <c r="F20" i="6"/>
  <c r="F24" i="6" s="1"/>
  <c r="E20" i="6"/>
  <c r="C16" i="6"/>
  <c r="C15" i="6"/>
  <c r="C14" i="6"/>
  <c r="C13" i="6"/>
  <c r="C12" i="6"/>
  <c r="J2" i="5"/>
  <c r="B2" i="5"/>
  <c r="M2" i="5"/>
  <c r="O2" i="5"/>
  <c r="I63" i="5" a="1"/>
  <c r="I62" i="5" a="1"/>
  <c r="I42" i="5" a="1"/>
  <c r="I94" i="5" a="1"/>
  <c r="I93" i="5" a="1"/>
  <c r="I92" i="5" a="1"/>
  <c r="I91" i="5" a="1"/>
  <c r="I100" i="5" a="1"/>
  <c r="I97" i="5" a="1"/>
  <c r="I98" i="5" a="1"/>
  <c r="I124" i="5" a="1"/>
  <c r="I143" i="5" a="1"/>
  <c r="I142" i="5" a="1"/>
  <c r="I122" i="5" a="1"/>
  <c r="I138" i="5" a="1"/>
  <c r="I99" i="5" a="1"/>
  <c r="I131" i="5" a="1"/>
  <c r="I139" i="5" a="1"/>
  <c r="I123" i="5" a="1"/>
  <c r="I95" i="5" a="1"/>
  <c r="I86" i="5" a="1"/>
  <c r="I127" i="5" a="1"/>
  <c r="I128" i="5" a="1"/>
  <c r="I88" i="5" a="1"/>
  <c r="I79" i="5" a="1"/>
  <c r="I77" i="5" a="1"/>
  <c r="I74" i="5" a="1"/>
  <c r="I90" i="5" a="1"/>
  <c r="I78" i="5" a="1"/>
  <c r="I80" i="5" a="1"/>
  <c r="I64" i="5" a="1"/>
  <c r="I81" i="5" a="1"/>
  <c r="I75" i="5" a="1"/>
  <c r="I60" i="5" a="1"/>
  <c r="I59" i="5" a="1"/>
  <c r="I36" i="5" a="1"/>
  <c r="I37" i="5" a="1"/>
  <c r="I106" i="5" a="1"/>
  <c r="I112" i="5" a="1"/>
  <c r="I38" i="5" a="1"/>
  <c r="I120" i="5" a="1"/>
  <c r="I119" i="5" a="1"/>
  <c r="I118" i="5" a="1"/>
  <c r="I117" i="5" a="1"/>
  <c r="I116" i="5" a="1"/>
  <c r="I115" i="5" a="1"/>
  <c r="I114" i="5" a="1"/>
  <c r="I113" i="5" a="1"/>
  <c r="I58" i="5" a="1"/>
  <c r="I57" i="5" a="1"/>
  <c r="I56" i="5" a="1"/>
  <c r="I50" i="5" a="1"/>
  <c r="I55" i="5" a="1"/>
  <c r="I54" i="5" a="1"/>
  <c r="I53" i="5" a="1"/>
  <c r="I52" i="5" a="1"/>
  <c r="I51" i="5" a="1"/>
  <c r="I49" i="5" a="1"/>
  <c r="I48" i="5" a="1"/>
  <c r="I47" i="5" a="1"/>
  <c r="I46" i="5" a="1"/>
  <c r="I45" i="5" a="1"/>
  <c r="I44" i="5" a="1"/>
  <c r="I34" i="5" a="1"/>
  <c r="I72" i="5" a="1"/>
  <c r="I73" i="5" a="1"/>
  <c r="I71" i="5" a="1"/>
  <c r="I70" i="5" a="1"/>
  <c r="I69" i="5" a="1"/>
  <c r="I68" i="5" a="1"/>
  <c r="I67" i="5" a="1"/>
  <c r="I43" i="5" a="1"/>
  <c r="I66" i="5" a="1"/>
  <c r="I111" i="5" a="1"/>
  <c r="I39" i="5" a="1"/>
  <c r="I33" i="5" a="1"/>
  <c r="I41" i="5" a="1"/>
  <c r="I40" i="5" a="1"/>
  <c r="I108" i="5" a="1"/>
  <c r="I109" i="5" a="1"/>
  <c r="I110" i="5" a="1"/>
  <c r="I13" i="5" a="1"/>
  <c r="I32" i="5" a="1"/>
  <c r="I149" i="5" a="1"/>
  <c r="I150" i="5" a="1"/>
  <c r="I151" i="5" a="1"/>
  <c r="I152" i="5" a="1"/>
  <c r="I153" i="5" a="1"/>
  <c r="I154" i="5" a="1"/>
  <c r="I155" i="5" a="1"/>
  <c r="I156" i="5" a="1"/>
  <c r="I157" i="5" a="1"/>
  <c r="I158" i="5" a="1"/>
  <c r="I159" i="5" a="1"/>
  <c r="I193" i="5" a="1"/>
  <c r="I160" i="5" a="1"/>
  <c r="I161" i="5" a="1"/>
  <c r="I162" i="5" a="1"/>
  <c r="I163" i="5" a="1"/>
  <c r="I164" i="5" a="1"/>
  <c r="I165" i="5" a="1"/>
  <c r="I166" i="5" a="1"/>
  <c r="I137" i="5" a="1"/>
  <c r="I12" i="5" a="1"/>
  <c r="I11" i="5" a="1"/>
  <c r="I144" i="5" a="1"/>
  <c r="I145" i="5" a="1"/>
  <c r="I146" i="5" a="1"/>
  <c r="I147" i="5" a="1"/>
  <c r="I148" i="5" a="1"/>
  <c r="I130" i="5" a="1"/>
  <c r="I19" i="5" a="1"/>
  <c r="I17" i="5" a="1"/>
  <c r="I20" i="5" a="1"/>
  <c r="I21" i="5" a="1"/>
  <c r="I22" i="5" a="1"/>
  <c r="I23" i="5" a="1"/>
  <c r="I24" i="5" a="1"/>
  <c r="I25" i="5" a="1"/>
  <c r="I26" i="5" a="1"/>
  <c r="I14" i="5" a="1"/>
  <c r="I15" i="5" a="1"/>
  <c r="I16" i="5" a="1"/>
  <c r="I27" i="5" a="1"/>
  <c r="I28" i="5" a="1"/>
  <c r="I18" i="5" a="1"/>
  <c r="I29" i="5" a="1"/>
  <c r="I30" i="5" a="1"/>
  <c r="I31" i="5" a="1"/>
  <c r="I103" i="5" a="1"/>
  <c r="I141" i="5" a="1"/>
  <c r="I104" i="5" a="1"/>
  <c r="I105" i="5" a="1"/>
  <c r="I101" i="5" a="1"/>
  <c r="I121" i="5" a="1"/>
  <c r="I107" i="5" a="1"/>
  <c r="I136" i="5" a="1"/>
  <c r="I133" i="5" a="1"/>
  <c r="I134" i="5" a="1"/>
  <c r="I135" i="5" a="1"/>
  <c r="I132" i="5" a="1"/>
  <c r="I202" i="5" a="1"/>
  <c r="I203" i="5" a="1"/>
  <c r="I167" i="5" a="1"/>
  <c r="I168" i="5" a="1"/>
  <c r="I169" i="5" a="1"/>
  <c r="I170" i="5" a="1"/>
  <c r="I171" i="5" a="1"/>
  <c r="I172" i="5" a="1"/>
  <c r="I173" i="5" a="1"/>
  <c r="I174" i="5" a="1"/>
  <c r="I175" i="5" a="1"/>
  <c r="I176" i="5" a="1"/>
  <c r="I177" i="5" a="1"/>
  <c r="I178" i="5" a="1"/>
  <c r="I179" i="5" a="1"/>
  <c r="I180" i="5" a="1"/>
  <c r="I181" i="5" a="1"/>
  <c r="I182" i="5" a="1"/>
  <c r="I183" i="5" a="1"/>
  <c r="I184" i="5" a="1"/>
  <c r="I185" i="5" a="1"/>
  <c r="I186" i="5" a="1"/>
  <c r="I187" i="5" a="1"/>
  <c r="I188" i="5" a="1"/>
  <c r="I189" i="5" a="1"/>
  <c r="I190" i="5" a="1"/>
  <c r="I191" i="5" a="1"/>
  <c r="I194" i="5" a="1"/>
  <c r="I195" i="5" a="1"/>
  <c r="I196" i="5" a="1"/>
  <c r="I197" i="5" a="1"/>
  <c r="I198" i="5" a="1"/>
  <c r="I199" i="5" a="1"/>
  <c r="I200" i="5" a="1"/>
  <c r="I192" i="5" a="1"/>
  <c r="I201" i="5" a="1"/>
  <c r="I204" i="5" a="1"/>
  <c r="I205" i="5" a="1"/>
  <c r="I206" i="5" a="1"/>
  <c r="I207" i="5" a="1"/>
  <c r="I208" i="5" a="1"/>
  <c r="I209" i="5" a="1"/>
  <c r="I210" i="5" a="1"/>
  <c r="I211" i="5" a="1"/>
  <c r="I212" i="5" a="1"/>
  <c r="I213" i="5" a="1"/>
  <c r="I214" i="5" a="1"/>
  <c r="I215" i="5" a="1"/>
  <c r="I216" i="5" a="1"/>
  <c r="I217" i="5" a="1"/>
  <c r="I218" i="5" a="1"/>
  <c r="I219" i="5" a="1"/>
  <c r="I220" i="5" a="1"/>
  <c r="I221" i="5" a="1"/>
  <c r="I222" i="5" a="1"/>
  <c r="I223" i="5" a="1"/>
  <c r="I224" i="5" a="1"/>
  <c r="I225" i="5" a="1"/>
  <c r="I226" i="5" a="1"/>
  <c r="I227" i="5" a="1"/>
  <c r="I228" i="5" a="1"/>
  <c r="I229" i="5" a="1"/>
  <c r="I230" i="5" a="1"/>
  <c r="I231" i="5" a="1"/>
  <c r="I232" i="5" a="1"/>
  <c r="I233" i="5" a="1"/>
  <c r="I234" i="5" a="1"/>
  <c r="I235" i="5" a="1"/>
  <c r="I236" i="5" a="1"/>
  <c r="I237" i="5" a="1"/>
  <c r="I238" i="5" a="1"/>
  <c r="I239" i="5" a="1"/>
  <c r="I240" i="5" a="1"/>
  <c r="I241" i="5" a="1"/>
  <c r="I242" i="5" a="1"/>
  <c r="I243" i="5" a="1"/>
  <c r="I244" i="5" a="1"/>
  <c r="I245" i="5" a="1"/>
  <c r="I246" i="5" a="1"/>
  <c r="I247" i="5" a="1"/>
  <c r="I248" i="5" a="1"/>
  <c r="I249" i="5" a="1"/>
  <c r="I250" i="5" a="1"/>
  <c r="I251" i="5" a="1"/>
  <c r="I252" i="5" a="1"/>
  <c r="I253" i="5" a="1"/>
  <c r="I254" i="5" a="1"/>
  <c r="I255" i="5" a="1"/>
  <c r="I256" i="5" a="1"/>
  <c r="I257" i="5" a="1"/>
  <c r="I258" i="5" a="1"/>
  <c r="I259" i="5" a="1"/>
  <c r="I260" i="5" a="1"/>
  <c r="I261" i="5" a="1"/>
  <c r="I262" i="5" a="1"/>
  <c r="I263" i="5" a="1"/>
  <c r="I264" i="5" a="1"/>
  <c r="I265" i="5" a="1"/>
  <c r="I266" i="5" a="1"/>
  <c r="I267" i="5" a="1"/>
  <c r="I268" i="5" a="1"/>
  <c r="I269" i="5" a="1"/>
  <c r="I270" i="5" a="1"/>
  <c r="I271" i="5" a="1"/>
  <c r="I272" i="5" a="1"/>
  <c r="I273" i="5" a="1"/>
  <c r="I274" i="5" a="1"/>
  <c r="I275" i="5" a="1"/>
  <c r="I276" i="5" a="1"/>
  <c r="I277" i="5" a="1"/>
  <c r="I278" i="5" a="1"/>
  <c r="I279" i="5" a="1"/>
  <c r="I280" i="5" a="1"/>
  <c r="I281" i="5" a="1"/>
  <c r="I282" i="5" a="1"/>
  <c r="I283" i="5" a="1"/>
  <c r="I284" i="5" a="1"/>
  <c r="I285" i="5" a="1"/>
  <c r="I286" i="5" a="1"/>
  <c r="I287" i="5" a="1"/>
  <c r="I288" i="5" a="1"/>
  <c r="I289" i="5" a="1"/>
  <c r="I290" i="5" a="1"/>
  <c r="I291" i="5" a="1"/>
  <c r="I292" i="5" a="1"/>
  <c r="I293" i="5" a="1"/>
  <c r="I294" i="5" a="1"/>
  <c r="I295" i="5" a="1"/>
  <c r="I296" i="5" a="1"/>
  <c r="I297" i="5" a="1"/>
  <c r="I298" i="5" a="1"/>
  <c r="I299" i="5" a="1"/>
  <c r="I300" i="5" a="1"/>
  <c r="I301" i="5" a="1"/>
  <c r="I302" i="5" a="1"/>
  <c r="I303" i="5" a="1"/>
  <c r="I304" i="5" a="1"/>
  <c r="I305" i="5" a="1"/>
  <c r="I306" i="5" a="1"/>
  <c r="I307" i="5" a="1"/>
  <c r="I308" i="5" a="1"/>
  <c r="I309" i="5" a="1"/>
  <c r="I310" i="5" a="1"/>
  <c r="I311" i="5" a="1"/>
  <c r="I312" i="5" a="1"/>
  <c r="I313" i="5" a="1"/>
  <c r="I314" i="5" a="1"/>
  <c r="I315" i="5" a="1"/>
  <c r="I316" i="5" a="1"/>
  <c r="I317" i="5" a="1"/>
  <c r="I318" i="5" a="1"/>
  <c r="I319" i="5" a="1"/>
  <c r="I320" i="5" a="1"/>
  <c r="I321" i="5" a="1"/>
  <c r="I322" i="5" a="1"/>
  <c r="I323" i="5" a="1"/>
  <c r="I324" i="5" a="1"/>
  <c r="I325" i="5" a="1"/>
  <c r="I326" i="5" a="1"/>
  <c r="I327" i="5" a="1"/>
  <c r="I328" i="5" a="1"/>
  <c r="I329" i="5" a="1"/>
  <c r="I330" i="5" a="1"/>
  <c r="I331" i="5" a="1"/>
  <c r="I332" i="5" a="1"/>
  <c r="I333" i="5" a="1"/>
  <c r="I334" i="5" a="1"/>
  <c r="I335" i="5" a="1"/>
  <c r="I336" i="5" a="1"/>
  <c r="I337" i="5" a="1"/>
  <c r="I338" i="5" a="1"/>
  <c r="I339" i="5" a="1"/>
  <c r="I340" i="5" a="1"/>
  <c r="I341" i="5" a="1"/>
  <c r="I342" i="5" a="1"/>
  <c r="I343" i="5" a="1"/>
  <c r="I344" i="5" a="1"/>
  <c r="I345" i="5" a="1"/>
  <c r="I346" i="5" a="1"/>
  <c r="I347" i="5" a="1"/>
  <c r="I348" i="5" a="1"/>
  <c r="I349" i="5" a="1"/>
  <c r="I350" i="5" a="1"/>
  <c r="I351" i="5" a="1"/>
  <c r="I352" i="5" a="1"/>
  <c r="I353" i="5" a="1"/>
  <c r="I354" i="5" a="1"/>
  <c r="I355" i="5" a="1"/>
  <c r="I356" i="5" a="1"/>
  <c r="I140" i="5" a="1"/>
  <c r="J2" i="1"/>
  <c r="H2" i="1"/>
  <c r="F2" i="1"/>
  <c r="D2" i="1"/>
  <c r="B2" i="1"/>
  <c r="T9" i="6" l="1"/>
  <c r="T13" i="6"/>
  <c r="T8" i="6"/>
  <c r="T7" i="6"/>
  <c r="T6" i="6"/>
  <c r="T5" i="6"/>
  <c r="T4" i="6"/>
  <c r="T3" i="6"/>
  <c r="T2" i="6"/>
  <c r="T1" i="6"/>
  <c r="K14" i="6"/>
  <c r="L14" i="6" s="1"/>
  <c r="T15" i="6"/>
  <c r="T12" i="6"/>
  <c r="K13" i="6"/>
  <c r="L13" i="6" s="1"/>
  <c r="H24" i="6"/>
  <c r="T14" i="6"/>
  <c r="T17" i="6"/>
  <c r="T11" i="6"/>
  <c r="T16" i="6"/>
  <c r="T10" i="6"/>
  <c r="I22" i="6"/>
  <c r="E24" i="6"/>
  <c r="I24" i="6" s="1"/>
  <c r="S40" i="6"/>
  <c r="L34" i="6"/>
  <c r="S39" i="6"/>
  <c r="L33" i="6"/>
  <c r="S38" i="6"/>
  <c r="L32" i="6"/>
  <c r="S37" i="6"/>
  <c r="L31" i="6"/>
  <c r="E31" i="6"/>
  <c r="F31" i="6" s="1"/>
  <c r="C31" i="6"/>
  <c r="S34" i="6"/>
  <c r="L28" i="6"/>
  <c r="S35" i="6"/>
  <c r="L29" i="6"/>
  <c r="S36" i="6"/>
  <c r="L30" i="6"/>
  <c r="S27" i="6"/>
  <c r="S20" i="6"/>
  <c r="E12" i="6"/>
  <c r="F12" i="6" s="1"/>
  <c r="S28" i="6"/>
  <c r="S21" i="6"/>
  <c r="E13" i="6"/>
  <c r="F13" i="6" s="1"/>
  <c r="S29" i="6"/>
  <c r="S22" i="6"/>
  <c r="E14" i="6"/>
  <c r="F14" i="6" s="1"/>
  <c r="S30" i="6"/>
  <c r="S24" i="6"/>
  <c r="E15" i="6"/>
  <c r="F15" i="6" s="1"/>
  <c r="S32" i="6"/>
  <c r="S25" i="6"/>
  <c r="E16" i="6"/>
  <c r="F16" i="6" s="1"/>
  <c r="I20" i="6"/>
  <c r="E37" i="6"/>
  <c r="F37" i="6" s="1"/>
  <c r="C37" i="6"/>
  <c r="E36" i="6"/>
  <c r="F36" i="6" s="1"/>
  <c r="C36" i="6"/>
  <c r="E35" i="6"/>
  <c r="F35" i="6" s="1"/>
  <c r="C35" i="6"/>
  <c r="E34" i="6"/>
  <c r="F34" i="6" s="1"/>
  <c r="C34" i="6"/>
  <c r="E33" i="6"/>
  <c r="F33" i="6" s="1"/>
  <c r="C33" i="6" l="1"/>
  <c r="E32" i="6"/>
  <c r="F32" i="6" s="1"/>
  <c r="C32" i="6"/>
  <c r="E30" i="6"/>
  <c r="F30" i="6" s="1"/>
  <c r="C30" i="6"/>
  <c r="E29" i="6"/>
  <c r="F29" i="6" s="1"/>
  <c r="C29" i="6"/>
  <c r="E28" i="6"/>
  <c r="F28" i="6" s="1"/>
  <c r="C28" i="6"/>
  <c r="B57" i="6" l="1"/>
  <c r="K23" i="6"/>
  <c r="K22" i="6"/>
  <c r="K21" i="6"/>
  <c r="K20" i="6"/>
  <c r="H7" i="6"/>
  <c r="K24" i="6" s="1"/>
  <c r="I356" i="5"/>
  <c r="I355" i="5"/>
  <c r="I354" i="5"/>
  <c r="I353" i="5"/>
  <c r="I352" i="5"/>
  <c r="I351" i="5"/>
  <c r="I350" i="5"/>
  <c r="I349" i="5"/>
  <c r="I348" i="5"/>
  <c r="I347" i="5"/>
  <c r="I346" i="5"/>
  <c r="I345" i="5"/>
  <c r="I344" i="5"/>
  <c r="I343" i="5"/>
  <c r="I342" i="5"/>
  <c r="I341" i="5"/>
  <c r="I340" i="5"/>
  <c r="I339" i="5"/>
  <c r="I338" i="5"/>
  <c r="I337" i="5"/>
  <c r="I336" i="5"/>
  <c r="I335" i="5"/>
  <c r="I334" i="5"/>
  <c r="I333" i="5"/>
  <c r="I332" i="5"/>
  <c r="I331" i="5"/>
  <c r="I330" i="5"/>
  <c r="I329" i="5"/>
  <c r="I328" i="5"/>
  <c r="I327" i="5"/>
  <c r="I326" i="5"/>
  <c r="I325" i="5"/>
  <c r="I324" i="5"/>
  <c r="I323" i="5"/>
  <c r="I322" i="5"/>
  <c r="I321" i="5"/>
  <c r="I320" i="5"/>
  <c r="I319" i="5"/>
  <c r="I318" i="5"/>
  <c r="I317" i="5"/>
  <c r="I316" i="5"/>
  <c r="I315" i="5"/>
  <c r="I314" i="5"/>
  <c r="I313" i="5"/>
  <c r="I312" i="5"/>
  <c r="I311" i="5"/>
  <c r="I310" i="5"/>
  <c r="I309" i="5"/>
  <c r="I308" i="5"/>
  <c r="I307" i="5"/>
  <c r="I306" i="5"/>
  <c r="I305" i="5"/>
  <c r="I304" i="5"/>
  <c r="I303" i="5"/>
  <c r="I302" i="5"/>
  <c r="I301" i="5"/>
  <c r="I300" i="5"/>
  <c r="I299" i="5"/>
  <c r="I298" i="5"/>
  <c r="I297" i="5"/>
  <c r="I296" i="5"/>
  <c r="I295" i="5"/>
  <c r="I294" i="5"/>
  <c r="I293" i="5"/>
  <c r="I292" i="5"/>
  <c r="I291" i="5"/>
  <c r="I290" i="5"/>
  <c r="I289" i="5"/>
  <c r="I288" i="5"/>
  <c r="I287" i="5"/>
  <c r="I286" i="5"/>
  <c r="I285" i="5"/>
  <c r="I284" i="5"/>
  <c r="I283" i="5"/>
  <c r="I282" i="5"/>
  <c r="I281" i="5"/>
  <c r="I280" i="5"/>
  <c r="I279" i="5"/>
  <c r="I278" i="5"/>
  <c r="I277" i="5"/>
  <c r="I276" i="5"/>
  <c r="I275" i="5"/>
  <c r="I274" i="5"/>
  <c r="I273" i="5"/>
  <c r="I272" i="5"/>
  <c r="I271" i="5"/>
  <c r="I270" i="5"/>
  <c r="I269" i="5"/>
  <c r="I268" i="5"/>
  <c r="I267" i="5"/>
  <c r="I266" i="5"/>
  <c r="I265" i="5"/>
  <c r="I264" i="5"/>
  <c r="I263" i="5"/>
  <c r="I262" i="5"/>
  <c r="I261" i="5"/>
  <c r="I260" i="5"/>
  <c r="I259" i="5"/>
  <c r="I258" i="5"/>
  <c r="I257" i="5"/>
  <c r="I256" i="5"/>
  <c r="I255" i="5"/>
  <c r="I254" i="5"/>
  <c r="I253" i="5"/>
  <c r="I252" i="5"/>
  <c r="I251" i="5"/>
  <c r="I250" i="5"/>
  <c r="I249" i="5"/>
  <c r="I248" i="5"/>
  <c r="I247" i="5"/>
  <c r="I246" i="5"/>
  <c r="I245" i="5"/>
  <c r="I244" i="5"/>
  <c r="I243" i="5"/>
  <c r="I242" i="5"/>
  <c r="I241" i="5"/>
  <c r="I240" i="5"/>
  <c r="I239" i="5"/>
  <c r="I238" i="5"/>
  <c r="I237" i="5"/>
  <c r="I236" i="5"/>
  <c r="I235" i="5"/>
  <c r="I234" i="5"/>
  <c r="I233" i="5"/>
  <c r="I232" i="5"/>
  <c r="I231" i="5"/>
  <c r="I230" i="5"/>
  <c r="I229" i="5"/>
  <c r="I228" i="5"/>
  <c r="I227" i="5"/>
  <c r="I226" i="5"/>
  <c r="I225" i="5"/>
  <c r="I224" i="5"/>
  <c r="I223" i="5"/>
  <c r="I222" i="5"/>
  <c r="I221" i="5"/>
  <c r="I220" i="5"/>
  <c r="I219" i="5"/>
  <c r="I218" i="5"/>
  <c r="I217" i="5"/>
  <c r="I216" i="5"/>
  <c r="I215" i="5"/>
  <c r="I214" i="5"/>
  <c r="I213" i="5"/>
  <c r="I212" i="5"/>
  <c r="I211" i="5"/>
  <c r="I210" i="5"/>
  <c r="I209" i="5"/>
  <c r="I208" i="5"/>
  <c r="I207" i="5"/>
  <c r="I206" i="5"/>
  <c r="I205" i="5"/>
  <c r="I204" i="5"/>
  <c r="I201" i="5"/>
  <c r="I200" i="5"/>
  <c r="I199" i="5"/>
  <c r="I198" i="5"/>
  <c r="I197" i="5"/>
  <c r="I196" i="5"/>
  <c r="I195" i="5"/>
  <c r="I194" i="5"/>
  <c r="I191" i="5"/>
  <c r="I190" i="5"/>
  <c r="I193" i="5"/>
  <c r="I192" i="5"/>
  <c r="I189" i="5"/>
  <c r="I188" i="5"/>
  <c r="I187" i="5"/>
  <c r="I186" i="5"/>
  <c r="I185" i="5"/>
  <c r="I184" i="5"/>
  <c r="I183" i="5"/>
  <c r="I182" i="5"/>
  <c r="I181" i="5"/>
  <c r="I180" i="5"/>
  <c r="I179" i="5"/>
  <c r="I178" i="5"/>
  <c r="I177" i="5"/>
  <c r="I176" i="5"/>
  <c r="I175" i="5"/>
  <c r="I174" i="5"/>
  <c r="I173" i="5"/>
  <c r="I172" i="5"/>
  <c r="I171" i="5"/>
  <c r="I170" i="5"/>
  <c r="I169" i="5"/>
  <c r="I168" i="5"/>
  <c r="I167" i="5"/>
  <c r="I203" i="5"/>
  <c r="I202" i="5"/>
  <c r="I166" i="5"/>
  <c r="I165" i="5"/>
  <c r="I164" i="5"/>
  <c r="I163" i="5"/>
  <c r="I162" i="5"/>
  <c r="I161" i="5"/>
  <c r="I160" i="5"/>
  <c r="I159" i="5"/>
  <c r="I158" i="5"/>
  <c r="I157" i="5"/>
  <c r="I156" i="5"/>
  <c r="I155" i="5"/>
  <c r="I154" i="5"/>
  <c r="I153" i="5"/>
  <c r="I152" i="5"/>
  <c r="I151" i="5"/>
  <c r="I150" i="5"/>
  <c r="I149" i="5"/>
  <c r="I148" i="5"/>
  <c r="I147" i="5"/>
  <c r="I146" i="5"/>
  <c r="I145" i="5"/>
  <c r="I144" i="5"/>
  <c r="I143" i="5"/>
  <c r="I142" i="5"/>
  <c r="I141" i="5"/>
  <c r="I140" i="5"/>
  <c r="I139" i="5"/>
  <c r="I131" i="5"/>
  <c r="I137" i="5"/>
  <c r="I136" i="5"/>
  <c r="I135" i="5"/>
  <c r="I134" i="5"/>
  <c r="I133" i="5"/>
  <c r="I132" i="5"/>
  <c r="I130" i="5"/>
  <c r="I138" i="5"/>
  <c r="I128" i="5"/>
  <c r="I95" i="5"/>
  <c r="I125" i="5"/>
  <c r="I124" i="5"/>
  <c r="I123" i="5"/>
  <c r="I122" i="5"/>
  <c r="I121" i="5"/>
  <c r="I120" i="5"/>
  <c r="I119" i="5"/>
  <c r="I118" i="5"/>
  <c r="I117" i="5"/>
  <c r="I116" i="5"/>
  <c r="I115" i="5"/>
  <c r="I114" i="5"/>
  <c r="I113" i="5"/>
  <c r="I112" i="5"/>
  <c r="L21" i="6" s="1"/>
  <c r="I111" i="5"/>
  <c r="I110" i="5"/>
  <c r="I109" i="5"/>
  <c r="I108" i="5"/>
  <c r="I107" i="5"/>
  <c r="I106" i="5"/>
  <c r="I105" i="5"/>
  <c r="I104" i="5"/>
  <c r="I103" i="5"/>
  <c r="I101" i="5"/>
  <c r="I100" i="5"/>
  <c r="I99" i="5"/>
  <c r="I98" i="5"/>
  <c r="I97" i="5"/>
  <c r="I84" i="5"/>
  <c r="I83" i="5"/>
  <c r="I94" i="5"/>
  <c r="I93" i="5"/>
  <c r="I92" i="5"/>
  <c r="I91" i="5"/>
  <c r="I85" i="5"/>
  <c r="I88" i="5"/>
  <c r="I86" i="5"/>
  <c r="I129" i="5"/>
  <c r="I82" i="5"/>
  <c r="I63" i="5"/>
  <c r="I62" i="5"/>
  <c r="I81" i="5"/>
  <c r="I80" i="5"/>
  <c r="I79" i="5"/>
  <c r="I78" i="5"/>
  <c r="I77" i="5"/>
  <c r="I75" i="5"/>
  <c r="I74" i="5"/>
  <c r="I73" i="5"/>
  <c r="I72" i="5"/>
  <c r="I71" i="5"/>
  <c r="I70" i="5"/>
  <c r="I69" i="5"/>
  <c r="I68" i="5"/>
  <c r="I67" i="5"/>
  <c r="I66" i="5"/>
  <c r="I64" i="5"/>
  <c r="I42" i="5"/>
  <c r="I127" i="5"/>
  <c r="I60" i="5"/>
  <c r="I59" i="5"/>
  <c r="I58" i="5"/>
  <c r="I57" i="5"/>
  <c r="I56" i="5"/>
  <c r="I55" i="5"/>
  <c r="I54" i="5"/>
  <c r="I53" i="5"/>
  <c r="I52" i="5"/>
  <c r="I51" i="5"/>
  <c r="I50" i="5"/>
  <c r="I49" i="5"/>
  <c r="I48" i="5"/>
  <c r="I47" i="5"/>
  <c r="I46" i="5"/>
  <c r="I45" i="5"/>
  <c r="I44" i="5"/>
  <c r="I43" i="5"/>
  <c r="L20" i="6" s="1"/>
  <c r="I90" i="5"/>
  <c r="I41" i="5"/>
  <c r="I40" i="5"/>
  <c r="I39" i="5"/>
  <c r="I38" i="5"/>
  <c r="I37" i="5"/>
  <c r="I36" i="5"/>
  <c r="I34" i="5"/>
  <c r="I33" i="5"/>
  <c r="I32" i="5"/>
  <c r="I31" i="5"/>
  <c r="I30" i="5"/>
  <c r="I29" i="5"/>
  <c r="I28" i="5"/>
  <c r="I27" i="5"/>
  <c r="I26" i="5"/>
  <c r="I25" i="5"/>
  <c r="I24" i="5"/>
  <c r="I23" i="5"/>
  <c r="I22" i="5"/>
  <c r="I21" i="5"/>
  <c r="I20" i="5"/>
  <c r="I19" i="5"/>
  <c r="I18" i="5"/>
  <c r="I17" i="5"/>
  <c r="I16" i="5"/>
  <c r="I15" i="5"/>
  <c r="I14" i="5"/>
  <c r="I13" i="5"/>
  <c r="I12" i="5"/>
  <c r="I11" i="5"/>
  <c r="K8" i="6" l="1"/>
  <c r="K7" i="6"/>
  <c r="L23" i="6"/>
  <c r="L22" i="6"/>
  <c r="L24" i="6" s="1"/>
  <c r="B58" i="6"/>
  <c r="E57" i="6"/>
  <c r="C57" i="6" a="1"/>
  <c r="C57" i="6" s="1"/>
  <c r="D57" i="6" a="1"/>
  <c r="D57" i="6" s="1"/>
  <c r="F57" i="6" l="1" a="1"/>
  <c r="F57" i="6" s="1"/>
  <c r="G57" i="6" a="1"/>
  <c r="G57" i="6" s="1"/>
  <c r="C58" i="6" a="1"/>
  <c r="C58" i="6" s="1"/>
  <c r="D58" i="6" a="1"/>
  <c r="D58" i="6" s="1"/>
  <c r="B59" i="6"/>
  <c r="E58" i="6"/>
  <c r="F58" i="6" l="1" a="1"/>
  <c r="F58" i="6" s="1"/>
  <c r="G58" i="6" a="1"/>
  <c r="G58" i="6" s="1"/>
  <c r="D59" i="6" a="1"/>
  <c r="D59" i="6" s="1"/>
  <c r="B60" i="6"/>
  <c r="C59" i="6" a="1"/>
  <c r="C59" i="6" s="1"/>
  <c r="E59" i="6"/>
  <c r="F59" i="6" l="1" a="1"/>
  <c r="F59" i="6" s="1"/>
  <c r="G59" i="6" a="1"/>
  <c r="G59" i="6" s="1"/>
  <c r="D60" i="6" a="1"/>
  <c r="D60" i="6" s="1"/>
  <c r="C60" i="6" a="1"/>
  <c r="C60" i="6" s="1"/>
  <c r="B61" i="6"/>
  <c r="E60" i="6"/>
  <c r="G60" i="6" l="1" a="1"/>
  <c r="G60" i="6" s="1"/>
  <c r="F60" i="6" a="1"/>
  <c r="F60" i="6" s="1"/>
  <c r="D61" i="6" a="1"/>
  <c r="D61" i="6" s="1"/>
  <c r="C61" i="6" a="1"/>
  <c r="C61" i="6" s="1"/>
  <c r="B62" i="6"/>
  <c r="E61" i="6"/>
  <c r="G61" i="6" l="1" a="1"/>
  <c r="G61" i="6" s="1"/>
  <c r="F61" i="6" a="1"/>
  <c r="F61" i="6" s="1"/>
  <c r="C62" i="6" a="1"/>
  <c r="C62" i="6" s="1"/>
  <c r="E62" i="6"/>
  <c r="D62" i="6" a="1"/>
  <c r="D62" i="6" s="1"/>
  <c r="B63" i="6"/>
  <c r="D63" i="6" l="1" a="1"/>
  <c r="D63" i="6" s="1"/>
  <c r="C63" i="6" a="1"/>
  <c r="C63" i="6" s="1"/>
  <c r="B64" i="6"/>
  <c r="E63" i="6"/>
  <c r="G62" i="6" a="1"/>
  <c r="G62" i="6" s="1"/>
  <c r="F62" i="6" a="1"/>
  <c r="F62" i="6" s="1"/>
  <c r="F63" i="6" l="1" a="1"/>
  <c r="F63" i="6" s="1"/>
  <c r="G63" i="6" a="1"/>
  <c r="G63" i="6" s="1"/>
  <c r="D64" i="6" a="1"/>
  <c r="D64" i="6" s="1"/>
  <c r="E64" i="6"/>
  <c r="C64" i="6" a="1"/>
  <c r="C64" i="6" s="1"/>
  <c r="B65" i="6"/>
  <c r="D65" i="6" l="1" a="1"/>
  <c r="D65" i="6" s="1"/>
  <c r="C65" i="6" a="1"/>
  <c r="C65" i="6" s="1"/>
  <c r="B66" i="6"/>
  <c r="E65" i="6"/>
  <c r="F64" i="6" a="1"/>
  <c r="F64" i="6" s="1"/>
  <c r="G64" i="6" a="1"/>
  <c r="G64" i="6" s="1"/>
  <c r="F65" i="6" l="1" a="1"/>
  <c r="F65" i="6" s="1"/>
  <c r="G65" i="6" a="1"/>
  <c r="G65" i="6" s="1"/>
  <c r="C66" i="6" a="1"/>
  <c r="C66" i="6" s="1"/>
  <c r="E66" i="6"/>
  <c r="D66" i="6" a="1"/>
  <c r="D66" i="6" s="1"/>
  <c r="B67" i="6"/>
  <c r="D67" i="6" l="1" a="1"/>
  <c r="D67" i="6" s="1"/>
  <c r="C67" i="6" a="1"/>
  <c r="C67" i="6" s="1"/>
  <c r="B68" i="6"/>
  <c r="E67" i="6"/>
  <c r="F66" i="6" a="1"/>
  <c r="F66" i="6" s="1"/>
  <c r="G66" i="6" a="1"/>
  <c r="G66" i="6" s="1"/>
  <c r="G67" i="6" l="1" a="1"/>
  <c r="G67" i="6" s="1"/>
  <c r="F67" i="6" a="1"/>
  <c r="F67" i="6" s="1"/>
  <c r="D68" i="6" a="1"/>
  <c r="D68" i="6" s="1"/>
  <c r="D69" i="6" s="1"/>
  <c r="C68" i="6" a="1"/>
  <c r="C68" i="6" s="1"/>
  <c r="C69" i="6" s="1"/>
  <c r="E68" i="6"/>
  <c r="F68" i="6" l="1" a="1"/>
  <c r="F68" i="6" s="1"/>
  <c r="G68" i="6" a="1"/>
  <c r="G68" i="6" s="1"/>
  <c r="F69" i="6"/>
  <c r="G69" i="6"/>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<sst xmlns="http://schemas.openxmlformats.org/spreadsheetml/2006/main" count="1968" uniqueCount="720">
  <si>
    <t>AI PHOTO TRACKER</t>
  </si>
  <si>
    <t>📊 New:</t>
  </si>
  <si>
    <t>In process:</t>
  </si>
  <si>
    <t>QC:</t>
  </si>
  <si>
    <t>Approved:</t>
  </si>
  <si>
    <t>Denied:</t>
  </si>
  <si>
    <t>🔗  ARES</t>
  </si>
  <si>
    <t>🔗 NanoBanana</t>
  </si>
  <si>
    <t>🔗 Canva</t>
  </si>
  <si>
    <t>🔗 Tutorial</t>
  </si>
  <si>
    <t>🔗 Weekly call</t>
  </si>
  <si>
    <t>Acco ID</t>
  </si>
  <si>
    <t>Summer → winter</t>
  </si>
  <si>
    <t>Improve lighting</t>
  </si>
  <si>
    <t>Improve ambiance</t>
  </si>
  <si>
    <t>Replace sky</t>
  </si>
  <si>
    <t>Make beds</t>
  </si>
  <si>
    <t>Remove object</t>
  </si>
  <si>
    <t>Improve summer</t>
  </si>
  <si>
    <t>Count</t>
  </si>
  <si>
    <t>Assigned to</t>
  </si>
  <si>
    <t>Date assigned</t>
  </si>
  <si>
    <t>Status</t>
  </si>
  <si>
    <t>Priority</t>
  </si>
  <si>
    <t>Date completed</t>
  </si>
  <si>
    <t>Notes QC</t>
  </si>
  <si>
    <t>Request date</t>
  </si>
  <si>
    <t>Rental expert</t>
  </si>
  <si>
    <t>AT.6364.53</t>
  </si>
  <si>
    <t>3, 6, 7</t>
  </si>
  <si>
    <t>Jill</t>
  </si>
  <si>
    <t>Approved</t>
  </si>
  <si>
    <t>High</t>
  </si>
  <si>
    <t>Georg Stiegler</t>
  </si>
  <si>
    <t>AT.6370.09</t>
  </si>
  <si>
    <t>3, 2, 5</t>
  </si>
  <si>
    <t>Daniel Hell</t>
  </si>
  <si>
    <t>AT.9971.14</t>
  </si>
  <si>
    <t>62, 66, 64</t>
  </si>
  <si>
    <t>Vervormingen en AI errors</t>
  </si>
  <si>
    <t>AT.6336.01</t>
  </si>
  <si>
    <t>52, 53, 55</t>
  </si>
  <si>
    <t>Bij foto 68 en 69 is de tekst op het VfY-bord vervormd.</t>
  </si>
  <si>
    <t>AT.8953.10</t>
  </si>
  <si>
    <t>74, 85</t>
  </si>
  <si>
    <t>Ilse Heijnen</t>
  </si>
  <si>
    <t>AT.8953.47</t>
  </si>
  <si>
    <t>2, 24, 31</t>
  </si>
  <si>
    <t>NL.2159.02</t>
  </si>
  <si>
    <t>34, 39, 36, 52, 55, 35</t>
  </si>
  <si>
    <t>NL.2159.01</t>
  </si>
  <si>
    <t>104, 107, 108, 109, 41, 79, 60, 78, 77</t>
  </si>
  <si>
    <t>Terrastafel sfeervoller aankleden volgende x</t>
  </si>
  <si>
    <t>AT.5531.03</t>
  </si>
  <si>
    <t>55, 48, 49, 50, 51, 52, 54, 56</t>
  </si>
  <si>
    <t>48, 49, 50, 51, 54</t>
  </si>
  <si>
    <t>Bij foto 58 zijn 2 schoorstenen toegevoegd die ik op het origineel niet zie</t>
  </si>
  <si>
    <t>AT.9542.15</t>
  </si>
  <si>
    <t>1, 52, 62</t>
  </si>
  <si>
    <t>Foto 3 oogt te kunstmatig + er zijn dingen toegevoegd die er niet zijn (blik naar binnen bijv. - in het origineel zijn de deuren gesloten).</t>
  </si>
  <si>
    <t>Carl-Peter Echtermeijer</t>
  </si>
  <si>
    <t>AT.9542.16</t>
  </si>
  <si>
    <t>51, 52, 41</t>
  </si>
  <si>
    <t>Kun je foto 52 nog eens proberen, en in je prompt ook specifiek een omschrijving van een huisnummerbord verwerken?</t>
  </si>
  <si>
    <t>AT.9542.181</t>
  </si>
  <si>
    <t>58, 60, 78</t>
  </si>
  <si>
    <t>Kun je foto 58 nog eens proberen, en in je prompt ook specifiek een omschrijving van een huisnummerbord verwerken?</t>
  </si>
  <si>
    <t>AT.9542.03</t>
  </si>
  <si>
    <t>43, 58, 59</t>
  </si>
  <si>
    <t>AT.9542.211</t>
  </si>
  <si>
    <t>50, 29</t>
  </si>
  <si>
    <t>AT.9542.02</t>
  </si>
  <si>
    <t>2, 70</t>
  </si>
  <si>
    <t>AT.9542.05</t>
  </si>
  <si>
    <t>43, 41, 70</t>
  </si>
  <si>
    <t>AT.9542.06</t>
  </si>
  <si>
    <t>69, 67</t>
  </si>
  <si>
    <t>AT.9542.08</t>
  </si>
  <si>
    <t>52, 49</t>
  </si>
  <si>
    <t>AT.9542.10</t>
  </si>
  <si>
    <t>67, 65</t>
  </si>
  <si>
    <t>AT.9542.11</t>
  </si>
  <si>
    <t>72, 62</t>
  </si>
  <si>
    <t>AT.9542.12</t>
  </si>
  <si>
    <t>AT.9542.14</t>
  </si>
  <si>
    <t>1, 52</t>
  </si>
  <si>
    <t>Misschien groene blaadjes toevoegen.</t>
  </si>
  <si>
    <t>AT.9542.201</t>
  </si>
  <si>
    <t>43, 57</t>
  </si>
  <si>
    <t>AT.9542.202</t>
  </si>
  <si>
    <t>41, 54</t>
  </si>
  <si>
    <t>AT.9542.223</t>
  </si>
  <si>
    <t>AT.9542.241</t>
  </si>
  <si>
    <t>39, 52</t>
  </si>
  <si>
    <t>AT.9542.242</t>
  </si>
  <si>
    <t>34, 70</t>
  </si>
  <si>
    <t>NL.5094.02</t>
  </si>
  <si>
    <t>6, 7</t>
  </si>
  <si>
    <t>3, 4, 5, 8, 9, 12, 17, 18</t>
  </si>
  <si>
    <t>3, 4, 5</t>
  </si>
  <si>
    <t>3, 12, 17, 25</t>
  </si>
  <si>
    <t>Wouter</t>
  </si>
  <si>
    <t>3: 2 eenpersoonsbedden aan elkaar, nachtkastje+lamp beide zijden, rolgordijn raam, kast rechts weg · 4/5: idem maar zonder kast verwijderen · 6: badkamer lichter/mooier maken · 7: idem badkamer + opstapkrukje voor het bad · 8: muur waar 4p eettafel komt · 9: TV-muur, rechts bank+tafeltjes, links 2 stoelen · 12: rechts 4p eettafel, links TV aan muur naast deur, bank+salontafel+2 stoelen, vloer blijft grijs, draai plafondlamp weg · 17: kapotte kast → glans wit zoals rest, cups koffiemachine+waterkoker erop · 18: eetmeubilair op terras, zit-loungebank, terras helemaal schoonmaken, klein voorkorfje, evt 2 ligstoelen op gras, schutting hoek naast schuur tot huis (privacy) · 25: geen mensen in zwembad</t>
  </si>
  <si>
    <t>Mark van Bruggen</t>
  </si>
  <si>
    <t>NL.5171.12</t>
  </si>
  <si>
    <t>1, 2, 3, 4, 5, 6, 7, 8, 9, 10, 11, 12, 13, 14</t>
  </si>
  <si>
    <t>Woning in aanbouw; verwijder bouwmateriaal, voeg luxe meubels/inrichting toe, maak alles volledig afgewerkt.</t>
  </si>
  <si>
    <t>FR.34210.34</t>
  </si>
  <si>
    <t>3, 15, 12, 6, 13, 8, 9, 10, 11, 7, 14, 5, 16, 17, 18, 19</t>
  </si>
  <si>
    <t>Kun je foto 69 de tafel dekken?</t>
  </si>
  <si>
    <t>Jacqueline Dubois</t>
  </si>
  <si>
    <t>AT.6341.01</t>
  </si>
  <si>
    <t>4, 6</t>
  </si>
  <si>
    <t>AT.6370.27</t>
  </si>
  <si>
    <t>23, 24, 25</t>
  </si>
  <si>
    <t>Tandenborstel verwijderen -&gt; tandenborstel alleen weghalen lukte niet dus ik heb dat hele ding weggehaalt.</t>
  </si>
  <si>
    <t>Dozen verwijderen</t>
  </si>
  <si>
    <t>NL.4491.02</t>
  </si>
  <si>
    <t>1, 2, 5, 4, 6, 7, 3, 15, 17</t>
  </si>
  <si>
    <t>verwijder alle vermeldingen van ''Zilt'' in foto's</t>
  </si>
  <si>
    <t>Verhuur Nederland</t>
  </si>
  <si>
    <t>AT.8953.32</t>
  </si>
  <si>
    <t>2, 23, 24, 25, 37</t>
  </si>
  <si>
    <t>Medium</t>
  </si>
  <si>
    <t>AT.5531.14</t>
  </si>
  <si>
    <t>82, 83, 84</t>
  </si>
  <si>
    <t>AT.8813.36</t>
  </si>
  <si>
    <t>46, 47, 100, 101, 102</t>
  </si>
  <si>
    <t>Koen van Tuijn</t>
  </si>
  <si>
    <t>AT.5531.07</t>
  </si>
  <si>
    <t>80, 82, 83, 85, 86, 89</t>
  </si>
  <si>
    <t>96, 97, 100, 102, 106, 107, 109</t>
  </si>
  <si>
    <t>Kaylee</t>
  </si>
  <si>
    <t>New</t>
  </si>
  <si>
    <t>Improve summer: gras vol maken. Winter: buitenfoto's ogen wat somber, graag zonniger/frisser maken met iets meer sneeuw.</t>
  </si>
  <si>
    <t>AT.8785.07</t>
  </si>
  <si>
    <t>1, 10</t>
  </si>
  <si>
    <t>NL.4491.14</t>
  </si>
  <si>
    <t>152, 154, 155, 156, 163, 165</t>
  </si>
  <si>
    <t>NL.4493.34</t>
  </si>
  <si>
    <t>3, 9, 50, 24, 25</t>
  </si>
  <si>
    <t>NL.4493.14</t>
  </si>
  <si>
    <t>22, 8, 9, 10, 16</t>
  </si>
  <si>
    <t>NL.4493.30</t>
  </si>
  <si>
    <t>59, 61, 25, 26</t>
  </si>
  <si>
    <t>NL.4491.06</t>
  </si>
  <si>
    <t>43, 44, 48, 41</t>
  </si>
  <si>
    <t>NL.4491.20</t>
  </si>
  <si>
    <t>38, 40, 33, 30</t>
  </si>
  <si>
    <t>NL.4491.17</t>
  </si>
  <si>
    <t>8, 15, 19, 28</t>
  </si>
  <si>
    <t>NL.4493.31</t>
  </si>
  <si>
    <t>37, 15, 19, 20, 14</t>
  </si>
  <si>
    <t>NL.4493.29</t>
  </si>
  <si>
    <t>27, 33, 35, 31</t>
  </si>
  <si>
    <t>NL.4493.25</t>
  </si>
  <si>
    <t>14, 15, 18, 19</t>
  </si>
  <si>
    <t>NL.4356.03</t>
  </si>
  <si>
    <t>8, 6, 9, 17</t>
  </si>
  <si>
    <t xml:space="preserve">foto 8 en 6 zijn dezelfde foto's </t>
  </si>
  <si>
    <t>NL.4491.04</t>
  </si>
  <si>
    <t>6, 11, 12, 13</t>
  </si>
  <si>
    <t>NL.4493.24</t>
  </si>
  <si>
    <t>3, 1, 13</t>
  </si>
  <si>
    <t>NL.4356.02</t>
  </si>
  <si>
    <t>20, 22</t>
  </si>
  <si>
    <t>NL.4491.21</t>
  </si>
  <si>
    <t>11, 18</t>
  </si>
  <si>
    <t>BE.8630.01</t>
  </si>
  <si>
    <t>Karin Wagemans</t>
  </si>
  <si>
    <t>BE.8630.02</t>
  </si>
  <si>
    <t>NL.5531.02</t>
  </si>
  <si>
    <t>70, 53, 60,58,56, 65, 61, 52, 81, 57</t>
  </si>
  <si>
    <t>Roze orchidee in woonkamerfoto's verwijderen, theedoeken in keukenfoto's verwijderen, fruitschaaltje op aanrecht verwijderen.</t>
  </si>
  <si>
    <t>AT.5531.09</t>
  </si>
  <si>
    <t>114, 115, 120, 119, 123</t>
  </si>
  <si>
    <t>Gras bijwerken</t>
  </si>
  <si>
    <t>AT.5531.15</t>
  </si>
  <si>
    <t>82, 83, 84, 86, 62, 109, 104, 107, 108, 103, 111, 110, 102</t>
  </si>
  <si>
    <t>AT.5752.10</t>
  </si>
  <si>
    <t>gras groener</t>
  </si>
  <si>
    <t>Phyllis Muschalik</t>
  </si>
  <si>
    <t>AT.9971.13</t>
  </si>
  <si>
    <t>Rosalynn</t>
  </si>
  <si>
    <t>AT.6526.01</t>
  </si>
  <si>
    <t>75, 70</t>
  </si>
  <si>
    <t xml:space="preserve">Ik heb extra op de bomen gelet dus ik hoop dat het zo goed is </t>
  </si>
  <si>
    <t>AT.8785.08</t>
  </si>
  <si>
    <t>29, 31, 30</t>
  </si>
  <si>
    <t>AT.8785.09</t>
  </si>
  <si>
    <t>15, 16</t>
  </si>
  <si>
    <t>AT.8785.11</t>
  </si>
  <si>
    <t>1, 11, 18</t>
  </si>
  <si>
    <t>AT.8785.13</t>
  </si>
  <si>
    <t>57, 58</t>
  </si>
  <si>
    <t>AT.8785.14</t>
  </si>
  <si>
    <t>53, 57, 58</t>
  </si>
  <si>
    <t>AT.8785.17</t>
  </si>
  <si>
    <t>38, 55, 57</t>
  </si>
  <si>
    <t>35, 34, 37, 40, 36, 38, 39</t>
  </si>
  <si>
    <t>bij foto 47 en 53, 52 loopt het gras te ver door over de stenen</t>
  </si>
  <si>
    <t>NL.7573.02</t>
  </si>
  <si>
    <t>96,71, 99, 95, 70</t>
  </si>
  <si>
    <t>AT.6364.90</t>
  </si>
  <si>
    <t>1, 2, 3, 4, 5, 6, 7, 8, 9, 10, 11, 12, 13, 14, 15, 16, 17, 18, 19, 20, 21</t>
  </si>
  <si>
    <t>Kun je deze opnieuw doen? De woning wordt gezandstraald waardoor het hout lichter van kleur wordt aan de buitenkant.</t>
  </si>
  <si>
    <t>AT.6372.02</t>
  </si>
  <si>
    <t>27, 28</t>
  </si>
  <si>
    <t>NL.7955.01</t>
  </si>
  <si>
    <t>49, 50, 51, 53, 61, 62</t>
  </si>
  <si>
    <t>NL.4265.02</t>
  </si>
  <si>
    <t>54, 56, 65, 71</t>
  </si>
  <si>
    <t>42, 48, 50, 52, 54, 55, 56, 58, 62, 64, 65, 67, 71</t>
  </si>
  <si>
    <t>38: glazen douchewand. 42/52/62/67: gras groen. 48: gordijnen voor ramen. 50/55: toiletbril erop. 54: helderder + bloemen/fruitmand. 56: gras groen + helderder. 58: spot plafond. 64: rolgordijn. 65: tv in hoek + belichting. 71: helderder + tv links in hoek.</t>
  </si>
  <si>
    <t>BE.3690.08</t>
  </si>
  <si>
    <t>56, 58, 59, 60, 71, 73, 74</t>
  </si>
  <si>
    <t>Probeer de foto's minder oranje te maken bij de volgende opdrachten</t>
  </si>
  <si>
    <t>AT.6364.91</t>
  </si>
  <si>
    <t>43, 38, 46, 44</t>
  </si>
  <si>
    <t>zwembad verwijderen</t>
  </si>
  <si>
    <t>FR.11700.02</t>
  </si>
  <si>
    <t>46, 47, 48, 49</t>
  </si>
  <si>
    <t>Gaat voornamelijk om het schoonmaken van het gebouw/huis en de algehele uitstraling te verbeteren</t>
  </si>
  <si>
    <t>BE.6940.14</t>
  </si>
  <si>
    <t>29, 30, 13, 6, 23, 20, 10, 14, 5, 1, 7, 31</t>
  </si>
  <si>
    <t>Karl Vannerem</t>
  </si>
  <si>
    <t>FR.34210.25</t>
  </si>
  <si>
    <t>8, 9, 10, 13, 20</t>
  </si>
  <si>
    <t>QC</t>
  </si>
  <si>
    <t>Monique van der Stap</t>
  </si>
  <si>
    <t>FR.34210.03</t>
  </si>
  <si>
    <t>29, 27, 61, 31, 26, 60, 26, 37</t>
  </si>
  <si>
    <t>FR.34210.32</t>
  </si>
  <si>
    <t>7, 13, 14, 17, 18, 21</t>
  </si>
  <si>
    <t>AT.5671.02</t>
  </si>
  <si>
    <t>17, 18, 19, 20</t>
  </si>
  <si>
    <t>BE.3950.02</t>
  </si>
  <si>
    <t>118, 119, 120, 121, 128</t>
  </si>
  <si>
    <t>AT.6365.66</t>
  </si>
  <si>
    <t>2, 1, 5</t>
  </si>
  <si>
    <t>Ik heb foto 31 offline gehaald omdat die kwalitatief niet goed genoeg is. Kun je daar nog eens naar kijken?</t>
  </si>
  <si>
    <t>AT.6365.14</t>
  </si>
  <si>
    <t>34, 35, 42</t>
  </si>
  <si>
    <t>AT.8862.07</t>
  </si>
  <si>
    <t>30, 35, 24, 29, 20, 38, 22, 23, 25, 27, 39, 28, 21, 31, 32, 33, 34, 36, 37, 26</t>
  </si>
  <si>
    <t>Foto 6 en 10 lijken niet genoeg op realiteit, foto 48 te donker</t>
  </si>
  <si>
    <t>Sabine van Tuijn</t>
  </si>
  <si>
    <t>AT.5453.02</t>
  </si>
  <si>
    <t>83, 97</t>
  </si>
  <si>
    <t>Te donker en een witte rand aan de bovenkant</t>
  </si>
  <si>
    <t>AT.5453.03</t>
  </si>
  <si>
    <t>Te donker</t>
  </si>
  <si>
    <t>AT.5453.06</t>
  </si>
  <si>
    <t>NL.7671.02</t>
  </si>
  <si>
    <t>146, 48, 161, 55</t>
  </si>
  <si>
    <t>Foto 174, 175 en 177: Witte rand aan de bovenkant</t>
  </si>
  <si>
    <t>AT.5661.04</t>
  </si>
  <si>
    <t>59, 60, 83, 84, 85</t>
  </si>
  <si>
    <t>Kun je hier nog even kijken naar sorteren en het offline halen van de originele foto's?</t>
  </si>
  <si>
    <t>AT.6365.20</t>
  </si>
  <si>
    <t>34, 35, 40</t>
  </si>
  <si>
    <t>Ik heb foto 4 offline gehaald omdat het tuinmeubilair (en het terras in het algemeen) te veel afwijkt van de realiteit. Heb er zelf ook 1 toegevoegd (foto x).</t>
  </si>
  <si>
    <t>AT.5753.17</t>
  </si>
  <si>
    <t>77, 67, 81</t>
  </si>
  <si>
    <t>Ik vind ze nog steeds te donker; zie uitleg Teams</t>
  </si>
  <si>
    <t>AT.5753.19</t>
  </si>
  <si>
    <t>122, 112, 123</t>
  </si>
  <si>
    <t>AT.6292.04</t>
  </si>
  <si>
    <t>Die stenen voor de ingang zijn er niet in het echt</t>
  </si>
  <si>
    <t>AT.5453.01</t>
  </si>
  <si>
    <t>Ik vind deze nog steeds te donker; zie uitleg Teams</t>
  </si>
  <si>
    <t>AT.5570.24</t>
  </si>
  <si>
    <t>AT.9971.12</t>
  </si>
  <si>
    <t>56, 57, 59</t>
  </si>
  <si>
    <t xml:space="preserve">Planten/bomen zien er zomers uit                                    </t>
  </si>
  <si>
    <t>AT.5453.04</t>
  </si>
  <si>
    <t>Tafels sfeervoller aankleden volgende x. Je hebt nu alleen de belichting aangepast.</t>
  </si>
  <si>
    <t>AT.5542.01</t>
  </si>
  <si>
    <t>16, 22, 25</t>
  </si>
  <si>
    <t>Probeer de oranje gloed iets te beperken volgende x. Een beetje is wel mooi, maar teveel valt op</t>
  </si>
  <si>
    <t>Wim Westerdijk</t>
  </si>
  <si>
    <t>AT.5570.22</t>
  </si>
  <si>
    <t>7,43,13</t>
  </si>
  <si>
    <t>Goed, maar kun je de tafels dekken op de terrasfoto's? Bijv. met wijn, een karaf water etc. Alsof er mensen verblijven op dat moment.</t>
  </si>
  <si>
    <t>AT.6323.01</t>
  </si>
  <si>
    <t>7, 23, 17</t>
  </si>
  <si>
    <t>AT.5570.33</t>
  </si>
  <si>
    <t>3, 27, 39</t>
  </si>
  <si>
    <t>AT.5531.10</t>
  </si>
  <si>
    <t>53, 45, 46, 47, 50, 51, 52, 54, 55</t>
  </si>
  <si>
    <t>36, 37, 41, 40</t>
  </si>
  <si>
    <t>AT.5531.08</t>
  </si>
  <si>
    <t>76, 77, 78, 79, 81, 84</t>
  </si>
  <si>
    <t>AT.8953.29</t>
  </si>
  <si>
    <t>30, 52, 57, 58, 60, 61, 62</t>
  </si>
  <si>
    <t>BE.6660.01</t>
  </si>
  <si>
    <t>2, 27</t>
  </si>
  <si>
    <t>Foto 2: fornuis -&gt; koelvriescombi. Foto 27: sticker verwijderen</t>
  </si>
  <si>
    <t>NL.4484.06</t>
  </si>
  <si>
    <t>5, 6</t>
  </si>
  <si>
    <t>Edward</t>
  </si>
  <si>
    <t>NL.4493.33</t>
  </si>
  <si>
    <t>42, 41</t>
  </si>
  <si>
    <t>NL.4493.16</t>
  </si>
  <si>
    <t>NL.4354.01</t>
  </si>
  <si>
    <t>NL.4356.01</t>
  </si>
  <si>
    <t>NL.4491.15</t>
  </si>
  <si>
    <t>NL.4491.09</t>
  </si>
  <si>
    <t>NL.4493.18</t>
  </si>
  <si>
    <t>AT.5570.31</t>
  </si>
  <si>
    <t>34, 39</t>
  </si>
  <si>
    <t>AT.8953.31</t>
  </si>
  <si>
    <t>23, 45</t>
  </si>
  <si>
    <t>FR.46120.09</t>
  </si>
  <si>
    <t>20, 21, 22, 23, 24, 19, 18, 17, 6, 15, 9, 1, 2, 3, 4, 5, 6, 10, 11, 12, 13, 8 en 7</t>
  </si>
  <si>
    <t>AT.6361.116</t>
  </si>
  <si>
    <t>44, 47, 42</t>
  </si>
  <si>
    <t>AT.6335.01</t>
  </si>
  <si>
    <t>80, 81, 82, 84</t>
  </si>
  <si>
    <t>AT.6300.15</t>
  </si>
  <si>
    <t>35, 37, 38</t>
  </si>
  <si>
    <t>Ik vind deze winterfoto's een beetje te donker/grauw. Kun je hier opnieuw naar kijken?</t>
  </si>
  <si>
    <t>FR.17470.01</t>
  </si>
  <si>
    <t>36, 9, 1, 24, 26, 29, 3, 5, 22, 30, 27, 23, 14, 15, 2, 4, 32, 28, 6, 8, 10, 11, 13, 20, 21, 17, 12, 16, 19, 37, 7, 31, 25, 35</t>
  </si>
  <si>
    <t>Ik heb 'm alleen bij improve lighting gezet, maar sommige foto's kunnen ook wel wat meer sfeer gebruiken. Dat laat ik aan jouw oordeel over.</t>
  </si>
  <si>
    <t>FR.16320.01</t>
  </si>
  <si>
    <t>17, 9, 3, 1, 7, 2, 6, 11, 16</t>
  </si>
  <si>
    <t>Foto 29 heb je een raam erbij getoverd links. Foto 30 is wat te donker. Foto 35 had je getagged als exterieur, maar is meer terras (laatste heb ik al aangepast).</t>
  </si>
  <si>
    <t>FR.34210.33</t>
  </si>
  <si>
    <t>8, 4, 5, 13</t>
  </si>
  <si>
    <t>AT.9542.01</t>
  </si>
  <si>
    <t>In process</t>
  </si>
  <si>
    <t>ik kan foto 76 niet vinden</t>
  </si>
  <si>
    <t>AT.6370.28</t>
  </si>
  <si>
    <t>39, 40, 41</t>
  </si>
  <si>
    <t>9, 8</t>
  </si>
  <si>
    <t>Ambiance: terras aankleden</t>
  </si>
  <si>
    <t>AT.5571.12</t>
  </si>
  <si>
    <t>42, 14</t>
  </si>
  <si>
    <t>Low</t>
  </si>
  <si>
    <t>Witte rand aan de bovenkant</t>
  </si>
  <si>
    <t>AT.5571.05</t>
  </si>
  <si>
    <t>13, 14, 17</t>
  </si>
  <si>
    <t>AT.5571.09</t>
  </si>
  <si>
    <t>71, 59, 60, 61, 72</t>
  </si>
  <si>
    <t>AT.5571.10</t>
  </si>
  <si>
    <t>26, 29</t>
  </si>
  <si>
    <t>AT.5571.04</t>
  </si>
  <si>
    <t>53, 56, 55, 54, 52</t>
  </si>
  <si>
    <t>AT.6361.83</t>
  </si>
  <si>
    <t>28, 25, 26, 30, 31</t>
  </si>
  <si>
    <t xml:space="preserve">AT.5531.07 </t>
  </si>
  <si>
    <t>83, 80, 85</t>
  </si>
  <si>
    <t>Je hebt winter -&gt; zomer gedaan. De winterfoto's die hier staan zijn niet zo mooi omdat de sneeuw al aan het smelten was, dat willen we iets mooier maken.</t>
  </si>
  <si>
    <t>AT.5550.01</t>
  </si>
  <si>
    <t>5,28,27</t>
  </si>
  <si>
    <t>Denied</t>
  </si>
  <si>
    <t>Ik vind 34 en 35 wel erg geel/oranje. Kun je daar nog eens naar kijken?</t>
  </si>
  <si>
    <t>AT.5505.04</t>
  </si>
  <si>
    <t>NL.9976.03</t>
  </si>
  <si>
    <t>35, 56</t>
  </si>
  <si>
    <t>14, 45</t>
  </si>
  <si>
    <t>Paula Huizenga</t>
  </si>
  <si>
    <t>40, 38</t>
  </si>
  <si>
    <t>44, 45, 46</t>
  </si>
  <si>
    <t>AT.6300.09</t>
  </si>
  <si>
    <t>22, 24, 18, 23</t>
  </si>
  <si>
    <t>AT.5771.18</t>
  </si>
  <si>
    <t>Matthias Hauer</t>
  </si>
  <si>
    <t>AT.5771.17</t>
  </si>
  <si>
    <t>20, 19</t>
  </si>
  <si>
    <t>DE.72178.01</t>
  </si>
  <si>
    <t>20, 18, 9</t>
  </si>
  <si>
    <t>DE.06493.08</t>
  </si>
  <si>
    <t>11, 14, 15</t>
  </si>
  <si>
    <t>AT.6365.46</t>
  </si>
  <si>
    <t>29, 50</t>
  </si>
  <si>
    <t>AT.6365.47</t>
  </si>
  <si>
    <t>32, 24</t>
  </si>
  <si>
    <t>59, 60, 61</t>
  </si>
  <si>
    <t>AT.6365.48</t>
  </si>
  <si>
    <t>1, 73, 75, 72</t>
  </si>
  <si>
    <t>AT.6365.49</t>
  </si>
  <si>
    <t>21, 14</t>
  </si>
  <si>
    <t>54, 53, 50</t>
  </si>
  <si>
    <t>AT.6365.50</t>
  </si>
  <si>
    <t>39, 43, 45, 46, 47</t>
  </si>
  <si>
    <t>AT.5771.19</t>
  </si>
  <si>
    <t>34, 26</t>
  </si>
  <si>
    <t>AT.5771.20</t>
  </si>
  <si>
    <t>31, 36</t>
  </si>
  <si>
    <t>AT.5771.21</t>
  </si>
  <si>
    <t>31, 33</t>
  </si>
  <si>
    <t>50, 58</t>
  </si>
  <si>
    <t>AT.5771.22</t>
  </si>
  <si>
    <t>35, 15</t>
  </si>
  <si>
    <t>AT.6391.06</t>
  </si>
  <si>
    <t>6, 1</t>
  </si>
  <si>
    <t>26, 27</t>
  </si>
  <si>
    <t>AT.6391.07</t>
  </si>
  <si>
    <t>1, 2</t>
  </si>
  <si>
    <t>AT.6235.02</t>
  </si>
  <si>
    <t>36, 18</t>
  </si>
  <si>
    <t>AT.6235.04</t>
  </si>
  <si>
    <t>47, 14</t>
  </si>
  <si>
    <t>AT.6235.05</t>
  </si>
  <si>
    <t>78, 79, 9</t>
  </si>
  <si>
    <t>AT.6235.09</t>
  </si>
  <si>
    <t>46, 47</t>
  </si>
  <si>
    <t>AT.6235.10</t>
  </si>
  <si>
    <t>56, 33</t>
  </si>
  <si>
    <t>AT.6235.11</t>
  </si>
  <si>
    <t>1, 4, 3</t>
  </si>
  <si>
    <t>AT.6361.82</t>
  </si>
  <si>
    <t>27, 29, 28, 40, 41</t>
  </si>
  <si>
    <t>AT.5602.02</t>
  </si>
  <si>
    <t>AT.5630.01</t>
  </si>
  <si>
    <t>28, 14</t>
  </si>
  <si>
    <t>AT.5630.05</t>
  </si>
  <si>
    <t>AT.5630.06</t>
  </si>
  <si>
    <t>3, 23</t>
  </si>
  <si>
    <t>AT.5661.01</t>
  </si>
  <si>
    <t>51, 50, 88, 91</t>
  </si>
  <si>
    <t>AT.5700.29</t>
  </si>
  <si>
    <t>AT.5700.31</t>
  </si>
  <si>
    <t>5, 11, 6, 1, 12</t>
  </si>
  <si>
    <t>AT.5700.32</t>
  </si>
  <si>
    <t>2, 3, 1</t>
  </si>
  <si>
    <t>AT.5700.35</t>
  </si>
  <si>
    <t>22, 23</t>
  </si>
  <si>
    <t>AT.5710.11</t>
  </si>
  <si>
    <t>23, 4, 6</t>
  </si>
  <si>
    <t>AT.5710.30</t>
  </si>
  <si>
    <t>AT.5710.36</t>
  </si>
  <si>
    <t>AT.5710.37</t>
  </si>
  <si>
    <t>6, 1, 4, 8</t>
  </si>
  <si>
    <t>AT.5721.18</t>
  </si>
  <si>
    <t>33, 36</t>
  </si>
  <si>
    <t>AT.5721.24</t>
  </si>
  <si>
    <t>31, 2, 3, 1, 34</t>
  </si>
  <si>
    <t>AT.5721.50</t>
  </si>
  <si>
    <t>44, 56</t>
  </si>
  <si>
    <t>AT.5722.05</t>
  </si>
  <si>
    <t>64, 69, 62, 66</t>
  </si>
  <si>
    <t>AT.5722.07</t>
  </si>
  <si>
    <t>54, 58</t>
  </si>
  <si>
    <t>AT.5722.09</t>
  </si>
  <si>
    <t>46, 26, 27</t>
  </si>
  <si>
    <t>AT.5722.12</t>
  </si>
  <si>
    <t>26, 31, 32</t>
  </si>
  <si>
    <t>64, 61</t>
  </si>
  <si>
    <t>AT.5722.15</t>
  </si>
  <si>
    <t>AT.5723.01</t>
  </si>
  <si>
    <t>32, 33, 34, 35</t>
  </si>
  <si>
    <t>AT.5730.02</t>
  </si>
  <si>
    <t>25, 1, 22, 21</t>
  </si>
  <si>
    <t>AT.5743.03</t>
  </si>
  <si>
    <t>1, 28, 29</t>
  </si>
  <si>
    <t>AT.5743.06</t>
  </si>
  <si>
    <t>1, 2, 58, 65</t>
  </si>
  <si>
    <t>AT.5754.05</t>
  </si>
  <si>
    <t>AI Rejected</t>
  </si>
  <si>
    <t>AT.6391.08</t>
  </si>
  <si>
    <t>47, 48</t>
  </si>
  <si>
    <t>AT.5743.11</t>
  </si>
  <si>
    <t>29, 30</t>
  </si>
  <si>
    <t>AT.5743.12</t>
  </si>
  <si>
    <t>30, 31, 21, 32</t>
  </si>
  <si>
    <t>AT.5743.18</t>
  </si>
  <si>
    <t>40, 38, 36, 39</t>
  </si>
  <si>
    <t>AT.5752.14</t>
  </si>
  <si>
    <t>41, 42, 66, 67, 65</t>
  </si>
  <si>
    <t>AT.5752.25</t>
  </si>
  <si>
    <t>13, 14</t>
  </si>
  <si>
    <t>AT.5752.32</t>
  </si>
  <si>
    <t>53, 54</t>
  </si>
  <si>
    <t>AT.5754.03</t>
  </si>
  <si>
    <t>29, 45</t>
  </si>
  <si>
    <t>AT.5754.09</t>
  </si>
  <si>
    <t>1, 34, 15, 17,</t>
  </si>
  <si>
    <t>18, 19</t>
  </si>
  <si>
    <t>AT.5571.13</t>
  </si>
  <si>
    <t>75, 17</t>
  </si>
  <si>
    <t>AT.5571.15</t>
  </si>
  <si>
    <t>42, 43, 44</t>
  </si>
  <si>
    <t>AT.5761.02</t>
  </si>
  <si>
    <t>AT.5761.03</t>
  </si>
  <si>
    <t>AT.5761.16</t>
  </si>
  <si>
    <t>AT.5771.02</t>
  </si>
  <si>
    <t>AT.6181.01</t>
  </si>
  <si>
    <t>AT.6236.04</t>
  </si>
  <si>
    <t>AT.6236.41</t>
  </si>
  <si>
    <t>AT.6260.04</t>
  </si>
  <si>
    <t>Michael Fritz</t>
  </si>
  <si>
    <t>AT.6260.05</t>
  </si>
  <si>
    <t>AT.6274.06</t>
  </si>
  <si>
    <t>AT.6274.09</t>
  </si>
  <si>
    <t>AT.6280.11</t>
  </si>
  <si>
    <t>AT.6280.24</t>
  </si>
  <si>
    <t>AT.6284.02</t>
  </si>
  <si>
    <t>AT.6290.07</t>
  </si>
  <si>
    <t>AT.6300.07</t>
  </si>
  <si>
    <t>AT.6311.22</t>
  </si>
  <si>
    <t>AT.6334.01</t>
  </si>
  <si>
    <t>AT.6361.25</t>
  </si>
  <si>
    <t>AT.6361.79</t>
  </si>
  <si>
    <t>AT.6361.84</t>
  </si>
  <si>
    <t>AT.6361.85</t>
  </si>
  <si>
    <t>AT.6361.92</t>
  </si>
  <si>
    <t>AT.6363.29</t>
  </si>
  <si>
    <t>AT.6363.33</t>
  </si>
  <si>
    <t>AT.6364.18</t>
  </si>
  <si>
    <t>AT.6364.29</t>
  </si>
  <si>
    <t>AT.6365.45</t>
  </si>
  <si>
    <t>AT.6370.01</t>
  </si>
  <si>
    <t>AT.6370.20</t>
  </si>
  <si>
    <t>AT.6380.09</t>
  </si>
  <si>
    <t>AT.6424.01</t>
  </si>
  <si>
    <t>AT.6432.01</t>
  </si>
  <si>
    <t>AT.6555.13</t>
  </si>
  <si>
    <t>AT.6731.01</t>
  </si>
  <si>
    <t>AT.6752.02</t>
  </si>
  <si>
    <t>AT.6773.06</t>
  </si>
  <si>
    <t>AT.6782.03</t>
  </si>
  <si>
    <t>AT.6874.01</t>
  </si>
  <si>
    <t>AT.8785.06</t>
  </si>
  <si>
    <t>AT.8861.34</t>
  </si>
  <si>
    <t>AT.8953.05</t>
  </si>
  <si>
    <t>AT.8953.08</t>
  </si>
  <si>
    <t>AT.8953.20</t>
  </si>
  <si>
    <t>AT.8953.22</t>
  </si>
  <si>
    <t>AT.8953.27</t>
  </si>
  <si>
    <t>AT.8953.30</t>
  </si>
  <si>
    <t>AT.8965.02</t>
  </si>
  <si>
    <t>AT.8967.21</t>
  </si>
  <si>
    <t>AT.8967.23</t>
  </si>
  <si>
    <t>AT.8967.27</t>
  </si>
  <si>
    <t>AT.8967.29</t>
  </si>
  <si>
    <t>AT.8967.35</t>
  </si>
  <si>
    <t>AT.8967.36</t>
  </si>
  <si>
    <t>AT.8967.37</t>
  </si>
  <si>
    <t>AT.8967.41</t>
  </si>
  <si>
    <t>AT.8967.45</t>
  </si>
  <si>
    <t>AT.9620.05</t>
  </si>
  <si>
    <t>AT.9863.03</t>
  </si>
  <si>
    <t>AT.9971.06</t>
  </si>
  <si>
    <t>BE.2300.01</t>
  </si>
  <si>
    <t>BE.2330.04</t>
  </si>
  <si>
    <t>BE.2440.02</t>
  </si>
  <si>
    <t>BE.3621.04</t>
  </si>
  <si>
    <t>BE.3630.01</t>
  </si>
  <si>
    <t>BE.3660.01</t>
  </si>
  <si>
    <t>BE.3941.01</t>
  </si>
  <si>
    <t>BE.4990.02</t>
  </si>
  <si>
    <t>BE.4990.04</t>
  </si>
  <si>
    <t>BE.8430.02</t>
  </si>
  <si>
    <t>BE.8620.05</t>
  </si>
  <si>
    <t>BE.9690.01</t>
  </si>
  <si>
    <t>BE.9750.01</t>
  </si>
  <si>
    <t>DE.23968.02</t>
  </si>
  <si>
    <t>DE.23999.05</t>
  </si>
  <si>
    <t>DE.23999.06</t>
  </si>
  <si>
    <t>DE.34305.01</t>
  </si>
  <si>
    <t>FR.04360.01</t>
  </si>
  <si>
    <t>Brigitte Bruijnse</t>
  </si>
  <si>
    <t>FR.06560.02</t>
  </si>
  <si>
    <t>FR.08200.01</t>
  </si>
  <si>
    <t>FR.08430.01</t>
  </si>
  <si>
    <t>FR.08430.02</t>
  </si>
  <si>
    <t>FR.08430.03</t>
  </si>
  <si>
    <t>FR.08430.04</t>
  </si>
  <si>
    <t>FR.11200.01</t>
  </si>
  <si>
    <t>FR.11700.03</t>
  </si>
  <si>
    <t>FR.20111.01</t>
  </si>
  <si>
    <t>FR.46120.16</t>
  </si>
  <si>
    <t>Jacqueline Kunst-Dubois</t>
  </si>
  <si>
    <t>FR.46140.02</t>
  </si>
  <si>
    <t>FR.46340.02</t>
  </si>
  <si>
    <t>FR.50450.01</t>
  </si>
  <si>
    <t>FR.66310.01</t>
  </si>
  <si>
    <t>FR.83120.02</t>
  </si>
  <si>
    <t>FR.83240.01</t>
  </si>
  <si>
    <t>FR.83380.04</t>
  </si>
  <si>
    <t>FR.83420.01</t>
  </si>
  <si>
    <t>FR.83420.02</t>
  </si>
  <si>
    <t>FR.83440.05</t>
  </si>
  <si>
    <t>FR.83440.06</t>
  </si>
  <si>
    <t>FR.83440.07</t>
  </si>
  <si>
    <t>FR.83510.01</t>
  </si>
  <si>
    <t>FR.83570.02</t>
  </si>
  <si>
    <t>FR.83583.01</t>
  </si>
  <si>
    <t>FR.83600.03</t>
  </si>
  <si>
    <t>FR.83780.01</t>
  </si>
  <si>
    <t>FR.83860.03</t>
  </si>
  <si>
    <t>FR.84200.01</t>
  </si>
  <si>
    <t>FR.84210.01</t>
  </si>
  <si>
    <t>FR.84500.01</t>
  </si>
  <si>
    <t>FR.84700.01</t>
  </si>
  <si>
    <t>NL.1759.04</t>
  </si>
  <si>
    <t>Martijn de Jongh</t>
  </si>
  <si>
    <t>NL.1851.01</t>
  </si>
  <si>
    <t>NL.1851.02</t>
  </si>
  <si>
    <t>NL.1851.03</t>
  </si>
  <si>
    <t>NL.1865.01</t>
  </si>
  <si>
    <t>NL.1871.02</t>
  </si>
  <si>
    <t>NL.3255.01</t>
  </si>
  <si>
    <t>NL.3781.02</t>
  </si>
  <si>
    <t>NL.3881.01</t>
  </si>
  <si>
    <t>NL.3881.02</t>
  </si>
  <si>
    <t>NL.3881.03</t>
  </si>
  <si>
    <t>NL.4311.01</t>
  </si>
  <si>
    <t>NL.4316.02</t>
  </si>
  <si>
    <t>NL.4316.04</t>
  </si>
  <si>
    <t>NL.4538.01</t>
  </si>
  <si>
    <t>NL.4697.01</t>
  </si>
  <si>
    <t>NL.4891.01</t>
  </si>
  <si>
    <t>NL.4904.01</t>
  </si>
  <si>
    <t>NL.5096.01</t>
  </si>
  <si>
    <t>NL.5131.01</t>
  </si>
  <si>
    <t>NL.5131.02</t>
  </si>
  <si>
    <t>NL.5131.04</t>
  </si>
  <si>
    <t>NL.5406.10</t>
  </si>
  <si>
    <t>NL.5406.11</t>
  </si>
  <si>
    <t>NL.5406.12</t>
  </si>
  <si>
    <t>NL.5409.01</t>
  </si>
  <si>
    <t>NL.5411.01</t>
  </si>
  <si>
    <t>NL.5424.01</t>
  </si>
  <si>
    <t>NL.5427.01</t>
  </si>
  <si>
    <t>NL.6276.02</t>
  </si>
  <si>
    <t>NL.6627.02</t>
  </si>
  <si>
    <t>NL.6627.03</t>
  </si>
  <si>
    <t>NL.7711.02</t>
  </si>
  <si>
    <t>NL.8072.01</t>
  </si>
  <si>
    <t>NL.8077.04</t>
  </si>
  <si>
    <t>NL.8077.07</t>
  </si>
  <si>
    <t>NL.8077.14</t>
  </si>
  <si>
    <t>NL.8538.04</t>
  </si>
  <si>
    <t>NL.9642.01</t>
  </si>
  <si>
    <t>·</t>
  </si>
  <si>
    <t>Photo no.</t>
  </si>
  <si>
    <t>Editing goal</t>
  </si>
  <si>
    <t>Sfeer verbeteren</t>
  </si>
  <si>
    <t>To be assigned</t>
  </si>
  <si>
    <t>AT.5771.19 + 20 + 21 + 22</t>
  </si>
  <si>
    <t>Zomer → winter</t>
  </si>
  <si>
    <t>AT.6391.06 + 07 + 08</t>
  </si>
  <si>
    <t>AT.6235.02 + 04 + 05 + 09 +10 + 11</t>
  </si>
  <si>
    <t>AT.6365.46+47+48+49+50</t>
  </si>
  <si>
    <t>AT.6361.82 + 83</t>
  </si>
  <si>
    <t>AT.9971.09</t>
  </si>
  <si>
    <t>Legenda</t>
  </si>
  <si>
    <t>STATUS</t>
  </si>
  <si>
    <t>Foto is aangemeld, nog niet opgepakt</t>
  </si>
  <si>
    <t>Editor is actief bezig met de foto</t>
  </si>
  <si>
    <t>Bewerking klaar, wacht op kwaliteitscontrole door coördinator</t>
  </si>
  <si>
    <t>QC geslaagd, foto gepubliceerd in ARES</t>
  </si>
  <si>
    <t>Foto voldoet niet, editor moet opnieuw bewerken</t>
  </si>
  <si>
    <t>EDITING GOAL</t>
  </si>
  <si>
    <t>Foto is gemaakt in de zomer, maar winterversie is nodig voor de listing</t>
  </si>
  <si>
    <t>Foto is te donker, te licht of heeft storende schaduwen</t>
  </si>
  <si>
    <t>Foto is technisch goed maar voelt koud, leeg of onuitnodigend aan</t>
  </si>
  <si>
    <t>Lucht is bewolkt, grauw of saai</t>
  </si>
  <si>
    <t>Bed ziet er rommelig of onopgemaakt uit</t>
  </si>
  <si>
    <t>Storend element in beeld zoals een auto, vuilnisbak, persoon etc.</t>
  </si>
  <si>
    <t>Foto is gemaakt in de zomer maar oogt dof, vlak of weinig uitnodigend</t>
  </si>
  <si>
    <t>SELECTIE</t>
  </si>
  <si>
    <t>Kies maximaal 3-5 foto’s per woning</t>
  </si>
  <si>
    <r>
      <rPr>
        <u/>
        <sz val="10"/>
        <color rgb="FF2C3E50"/>
        <rFont val="Aptos"/>
      </rPr>
      <t>Prioriteit 1</t>
    </r>
    <r>
      <rPr>
        <sz val="10"/>
        <color rgb="FF2C3E50"/>
        <rFont val="Aptos"/>
      </rPr>
      <t xml:space="preserve">: potentiële hero images: buitenkant, zwembad, terras, spectaculair interieur. Dit levert het meeste rendement.
</t>
    </r>
    <r>
      <rPr>
        <u/>
        <sz val="10"/>
        <color rgb="FF2C3E50"/>
        <rFont val="Aptos"/>
      </rPr>
      <t>Prioriteit 2:</t>
    </r>
    <r>
      <rPr>
        <sz val="10"/>
        <color rgb="FF2C3E50"/>
        <rFont val="Aptos"/>
      </rPr>
      <t xml:space="preserve"> USP's of bijzondere ruimtes die technisch tegenvallen: slechte belichting, vlakke sfeer, rommelig etc. De ruimte zelf moet interessant genoeg zijn.
Sla gewone/saaie ruimtes met slechte foto's over. We kunnen foto's verbeteren met AI, niet de ruimte zelf.</t>
    </r>
  </si>
  <si>
    <t>AI PHOTO EDITING - DASHBOARD</t>
  </si>
  <si>
    <t>Real-time overview of all photo editing assignments</t>
  </si>
  <si>
    <t>TOTAL ASSIGNMENTS</t>
  </si>
  <si>
    <t>APPROVAL RATE</t>
  </si>
  <si>
    <t>AVG. TURNAROUND</t>
  </si>
  <si>
    <t>TOTAL PHOTOS</t>
  </si>
  <si>
    <t>days (requested → completed)</t>
  </si>
  <si>
    <t>STATUS OVERVIEW</t>
  </si>
  <si>
    <t>PRIORITY &amp; BACKLOG</t>
  </si>
  <si>
    <t>% of total</t>
  </si>
  <si>
    <t>🟢  Approved</t>
  </si>
  <si>
    <t>🔴  High</t>
  </si>
  <si>
    <t>🔵  In process</t>
  </si>
  <si>
    <t>🟡  Medium</t>
  </si>
  <si>
    <t>🟡  QC</t>
  </si>
  <si>
    <t>🟢  Low</t>
  </si>
  <si>
    <t>🔴  Denied</t>
  </si>
  <si>
    <t>📦  Unassigned</t>
  </si>
  <si>
    <t>⚪  New</t>
  </si>
  <si>
    <t>👤EDITOR PERFORMANCE</t>
  </si>
  <si>
    <t>Editor</t>
  </si>
  <si>
    <t>Assigned</t>
  </si>
  <si>
    <t>Approval %</t>
  </si>
  <si>
    <t>Avg. days</t>
  </si>
  <si>
    <t>Photos</t>
  </si>
  <si>
    <t>Aantal</t>
  </si>
  <si>
    <t>TOTAL</t>
  </si>
  <si>
    <t>RENTAL EXPERTS (TOP 10)</t>
  </si>
  <si>
    <t>EDITING GOALS OVERVIEW</t>
  </si>
  <si>
    <t>#</t>
  </si>
  <si>
    <t>Rental Expert</t>
  </si>
  <si>
    <t>Assignments</t>
  </si>
  <si>
    <t>Editing Goal</t>
  </si>
  <si>
    <t>Percentage</t>
  </si>
  <si>
    <t>❄️  Summer → Winter</t>
  </si>
  <si>
    <t>💡  Improve lighting</t>
  </si>
  <si>
    <t>✨  Improve ambiance</t>
  </si>
  <si>
    <t>🌤️  Replace sky</t>
  </si>
  <si>
    <t>🛏️  Make beds</t>
  </si>
  <si>
    <t>🗑️  Remove object</t>
  </si>
  <si>
    <t>☀️  Improve summer</t>
  </si>
  <si>
    <t>Summer→Winter</t>
  </si>
  <si>
    <t>Lighting</t>
  </si>
  <si>
    <t>Ambiance</t>
  </si>
  <si>
    <t>STATUS DISTRIBUTION</t>
  </si>
  <si>
    <t>EDITING GOALS DISTRIBUTION</t>
  </si>
  <si>
    <t>📥 AANGEVRAAGD PER MAAND</t>
  </si>
  <si>
    <t>AFGEROND PER MAAND</t>
  </si>
  <si>
    <t>Maand</t>
  </si>
  <si>
    <t>Woningen</t>
  </si>
  <si>
    <t>Foto's</t>
  </si>
  <si>
    <t>TOTAAL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</si>
</sst>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164" formatCode="dd/mm/yyyy"/>
    <numFmt numFmtId="165" formatCode="m/d/yyyy"/>
    <numFmt numFmtId="166" formatCode="0.0"/>
    <numFmt numFmtId="167" formatCode="mmm\ yyyy"/>
    <numFmt numFmtId="168" formatCode="#,##0;\-#,##0;\-"/>
  </numFmts>
  <fonts count="70">
    <font>
      <sz val="11"/>
      <color theme="1"/>
      <name val="Calibri"/>
      <family val="2"/>
      <charset val="1"/>
    </font>
    <font>
      <sz val="10"/>
      <name val="Arial"/>
      <family val="2"/>
    </font>
    <font>
      <sz val="9"/>
      <color rgb="FF636E72"/>
      <name val="Aptos"/>
    </font>
    <font>
      <b/>
      <sz val="9"/>
      <color rgb="FF1565C0"/>
      <name val="Aptos"/>
    </font>
    <font>
      <b/>
      <sz val="16"/>
      <color rgb="FFFFFFFF"/>
      <name val="Aptos"/>
    </font>
    <font>
      <b/>
      <sz val="10"/>
      <color rgb="FF1565C0"/>
      <name val="Aptos"/>
    </font>
    <font>
      <b/>
      <sz val="9"/>
      <color rgb="FFE67E22"/>
      <name val="Aptos"/>
    </font>
    <font>
      <b/>
      <sz val="10"/>
      <color rgb="FFE67E22"/>
      <name val="Aptos"/>
    </font>
    <font>
      <b/>
      <sz val="10"/>
      <color rgb="FF8E44AD"/>
      <name val="Aptos"/>
    </font>
    <font>
      <b/>
      <sz val="9"/>
      <color rgb="FF27AE60"/>
      <name val="Aptos"/>
    </font>
    <font>
      <b/>
      <sz val="10"/>
      <color rgb="FF27AE60"/>
      <name val="Aptos"/>
    </font>
    <font>
      <b/>
      <sz val="9"/>
      <color rgb="FFC0392B"/>
      <name val="Aptos"/>
    </font>
    <font>
      <b/>
      <sz val="10"/>
      <color rgb="FFC0392B"/>
      <name val="Aptos"/>
    </font>
    <font>
      <b/>
      <sz val="9"/>
      <color rgb="FF2C3E50"/>
      <name val="Aptos"/>
    </font>
    <font>
      <sz val="10"/>
      <color rgb="FF2C3E50"/>
      <name val="Aptos"/>
    </font>
    <font>
      <sz val="10"/>
      <color rgb="FF5D6D7E"/>
      <name val="Aptos"/>
    </font>
    <font>
      <u/>
      <sz val="11"/>
      <color theme="10"/>
      <name val="Calibri"/>
      <family val="2"/>
      <charset val="1"/>
    </font>
    <font>
      <u/>
      <sz val="9"/>
      <color theme="10"/>
      <name val="Calibri"/>
      <family val="2"/>
      <charset val="1"/>
    </font>
    <font>
      <sz val="9"/>
      <color rgb="FFD5D8DC"/>
      <name val="Aptos"/>
    </font>
    <font>
      <sz val="11"/>
      <color theme="3"/>
      <name val="Calibri"/>
      <family val="2"/>
      <charset val="1"/>
    </font>
    <font>
      <sz val="10"/>
      <color theme="3"/>
      <name val="Aptos"/>
    </font>
    <font>
      <b/>
      <sz val="8"/>
      <color rgb="FF2C3E50"/>
      <name val="Aptos"/>
    </font>
    <font>
      <sz val="9"/>
      <color rgb="FF00B0F0"/>
      <name val="Aptos"/>
    </font>
    <font>
      <b/>
      <sz val="10"/>
      <color rgb="FF2C3E50"/>
      <name val="Aptos"/>
    </font>
    <font>
      <u/>
      <sz val="10"/>
      <color rgb="FF2C3E50"/>
      <name val="Aptos"/>
    </font>
    <font>
      <sz val="8"/>
      <color rgb="FF2C3E50"/>
      <name val="Aptos"/>
    </font>
    <font>
      <sz val="9"/>
      <color theme="1"/>
      <name val="Calibri"/>
      <family val="2"/>
      <charset val="1"/>
    </font>
    <font>
      <sz val="10"/>
      <color rgb="FF27AE60"/>
      <name val="Aptos"/>
    </font>
    <font>
      <sz val="10"/>
      <color rgb="FF1F497D"/>
      <name val="Aptos"/>
    </font>
    <font>
      <sz val="10"/>
      <color rgb="FFE8E8E8"/>
      <name val="Segoe UI"/>
    </font>
    <font>
      <sz val="10"/>
      <color rgb="FFFFFFFF"/>
      <name val="Segoe UI"/>
    </font>
    <font>
      <b/>
      <sz val="22"/>
      <color rgb="FFFFFFFF"/>
      <name val="Segoe UI"/>
    </font>
    <font>
      <sz val="10"/>
      <color rgb="FF8888AA"/>
      <name val="Segoe UI"/>
    </font>
    <font>
      <sz val="11"/>
      <color rgb="FF8888AA"/>
      <name val="Segoe UI"/>
    </font>
    <font>
      <b/>
      <sz val="9"/>
      <color rgb="FF8888AA"/>
      <name val="Calibri"/>
      <family val="2"/>
      <charset val="1"/>
    </font>
    <font>
      <b/>
      <sz val="28"/>
      <color rgb="FF4A90D9"/>
      <name val="Calibri"/>
      <family val="2"/>
      <charset val="1"/>
    </font>
    <font>
      <b/>
      <sz val="13"/>
      <color rgb="FFFFFFFF"/>
      <name val="Calibri"/>
      <family val="2"/>
      <charset val="1"/>
    </font>
    <font>
      <b/>
      <sz val="9"/>
      <color rgb="FF8888AA"/>
      <name val="Segoe UI"/>
    </font>
    <font>
      <sz val="10"/>
      <color rgb="FF2ECC71"/>
      <name val="Segoe UI"/>
    </font>
    <font>
      <b/>
      <sz val="10"/>
      <color rgb="FFFFFFFF"/>
      <name val="Segoe UI"/>
    </font>
    <font>
      <sz val="10"/>
      <color rgb="FF4A90D9"/>
      <name val="Segoe UI"/>
    </font>
    <font>
      <sz val="10"/>
      <color rgb="FFF39C12"/>
      <name val="Segoe UI"/>
    </font>
    <font>
      <sz val="10"/>
      <color rgb="FFE74C3C"/>
      <name val="Segoe UI"/>
    </font>
    <font>
      <sz val="10"/>
      <color rgb="FFAAAACC"/>
      <name val="Segoe UI"/>
    </font>
    <font>
      <sz val="9"/>
      <color rgb="FF2ECC71"/>
      <name val="Consolas"/>
    </font>
    <font>
      <sz val="9"/>
      <color rgb="FF4A90D9"/>
      <name val="Segoe UI"/>
    </font>
    <font>
      <sz val="9"/>
      <color rgb="FF4A90D9"/>
      <name val="Consolas"/>
    </font>
    <font>
      <sz val="9"/>
      <color rgb="FFF39C12"/>
      <name val="Consolas"/>
    </font>
    <font>
      <sz val="9"/>
      <color rgb="FFE74C3C"/>
      <name val="Consolas"/>
    </font>
    <font>
      <sz val="9"/>
      <color rgb="FFAAAACC"/>
      <name val="Consolas"/>
    </font>
    <font>
      <b/>
      <sz val="9"/>
      <color rgb="FF2ECC71"/>
      <name val="Segoe UI"/>
    </font>
    <font>
      <b/>
      <sz val="9"/>
      <color rgb="FFE74C3C"/>
      <name val="Segoe UI"/>
    </font>
    <font>
      <b/>
      <sz val="9"/>
      <color rgb="FF4A90D9"/>
      <name val="Segoe UI"/>
    </font>
    <font>
      <b/>
      <sz val="10"/>
      <color rgb="FF2ECC71"/>
      <name val="Segoe UI"/>
    </font>
    <font>
      <b/>
      <sz val="10"/>
      <color rgb="FFE74C3C"/>
      <name val="Segoe UI"/>
    </font>
    <font>
      <b/>
      <sz val="10"/>
      <color rgb="FF4A90D9"/>
      <name val="Segoe UI"/>
    </font>
    <font>
      <sz val="10"/>
      <color rgb="FF9B59B6"/>
      <name val="Segoe UI"/>
    </font>
    <font>
      <sz val="9"/>
      <color rgb="FF9B59B6"/>
      <name val="Consolas"/>
    </font>
    <font>
      <sz val="10"/>
      <color rgb="FF3498DB"/>
      <name val="Segoe UI"/>
    </font>
    <font>
      <sz val="9"/>
      <color rgb="FF3498DB"/>
      <name val="Consolas"/>
    </font>
    <font>
      <sz val="10"/>
      <color rgb="FFF1C40F"/>
      <name val="Segoe UI"/>
    </font>
    <font>
      <sz val="9"/>
      <color rgb="FFF1C40F"/>
      <name val="Consolas"/>
    </font>
    <font>
      <sz val="10"/>
      <color rgb="FF1B1B2F"/>
      <name val="Segoe UI"/>
    </font>
    <font>
      <sz val="11"/>
      <color rgb="FF1B1B2F"/>
      <name val="Calibri"/>
      <family val="2"/>
      <charset val="1"/>
    </font>
    <font>
      <sz val="9"/>
      <color rgb="FFF938FC"/>
      <name val="Calibri"/>
      <family val="2"/>
      <charset val="1"/>
    </font>
    <font>
      <sz val="11"/>
      <color rgb="FFF938FC"/>
      <name val="Calibri"/>
      <family val="2"/>
      <charset val="1"/>
    </font>
    <font>
      <sz val="9"/>
      <color rgb="FF8888AA"/>
      <name val="Consolas"/>
    </font>
    <font>
      <sz val="11"/>
      <color rgb="FF00B0F0"/>
      <name val="Calibri"/>
      <family val="2"/>
      <charset val="1"/>
    </font>
    <font>
      <b/>
      <sz val="10"/>
      <color theme="0"/>
      <name val="Segoe UI"/>
    </font>
    <font>
      <b/>
      <sz val="13"/>
      <color rgb="FFFFFFFF"/>
      <name val="Calibri"/>
    </font>
  </fonts>
  <fills count="15">
    <fill>
      <patternFill patternType="none"/>
    </fill>
    <fill>
      <patternFill patternType="gray125"/>
    </fill>
    <fill>
      <patternFill patternType="solid">
        <fgColor rgb="FFFFFFFF"/>
        <bgColor indexed="64"/>
      </patternFill>
    </fill>
    <fill>
      <patternFill patternType="solid">
        <fgColor rgb="FF1A1A2E"/>
        <bgColor indexed="64"/>
      </patternFill>
    </fill>
    <fill>
      <patternFill patternType="solid">
        <fgColor rgb="FFF0F3F8"/>
        <bgColor indexed="64"/>
      </patternFill>
    </fill>
    <fill>
      <patternFill patternType="solid">
        <fgColor rgb="FFFAFBFC"/>
        <bgColor indexed="64"/>
      </patternFill>
    </fill>
    <fill>
      <patternFill patternType="solid">
        <fgColor rgb="FFF4F6F7"/>
        <bgColor indexed="64"/>
      </patternFill>
    </fill>
    <fill>
      <patternFill patternType="solid">
        <fgColor rgb="FFF8F9FA"/>
        <bgColor indexed="64"/>
      </patternFill>
    </fill>
    <fill>
      <patternFill patternType="solid">
        <fgColor theme="8" tint="0.79998168889431442"/>
        <bgColor indexed="64"/>
      </patternFill>
    </fill>
    <fill>
      <patternFill patternType="solid">
        <fgColor rgb="FFDAEEF3"/>
        <bgColor indexed="64"/>
      </patternFill>
    </fill>
    <fill>
      <patternFill patternType="solid">
        <fgColor rgb="FFEAFAF1"/>
        <bgColor indexed="64"/>
      </patternFill>
    </fill>
    <fill>
      <patternFill patternType="solid">
        <fgColor rgb="FF1B1B2F"/>
        <bgColor indexed="64"/>
      </patternFill>
    </fill>
    <fill>
      <patternFill patternType="solid">
        <fgColor rgb="FF4A90D9"/>
        <bgColor indexed="64"/>
      </patternFill>
    </fill>
    <fill>
      <patternFill patternType="solid">
        <fgColor rgb="FF232342"/>
        <bgColor indexed="64"/>
      </patternFill>
    </fill>
    <fill>
      <patternFill patternType="solid">
        <fgColor rgb="FF2A2A4A"/>
        <bgColor indexed="64"/>
      </patternFill>
    </fill>
  </fills>
  <borders count="31">
    <border>
      <left/>
      <right/>
      <top/>
      <bottom/>
      <diagonal/>
    </border>
    <border>
      <left/>
      <right/>
      <top style="thin">
        <color rgb="FFE8E8E8"/>
      </top>
      <bottom/>
      <diagonal/>
    </border>
    <border>
      <left/>
      <right/>
      <top/>
      <bottom style="thin">
        <color rgb="FF1A1A2E"/>
      </bottom>
      <diagonal/>
    </border>
    <border>
      <left/>
      <right/>
      <top style="thin">
        <color rgb="FFD5D8DC"/>
      </top>
      <bottom/>
      <diagonal/>
    </border>
    <border>
      <left/>
      <right/>
      <top style="thin">
        <color rgb="FFEAECEE"/>
      </top>
      <bottom style="thin">
        <color rgb="FFEAECEE"/>
      </bottom>
      <diagonal/>
    </border>
    <border>
      <left/>
      <right/>
      <top style="medium">
        <color rgb="FF2C3E50"/>
      </top>
      <bottom/>
      <diagonal/>
    </border>
    <border>
      <left/>
      <right/>
      <top style="thin">
        <color rgb="FFEAECEE"/>
      </top>
      <bottom/>
      <diagonal/>
    </border>
    <border>
      <left/>
      <right/>
      <top/>
      <bottom style="medium">
        <color rgb="FF2C3E50"/>
      </bottom>
      <diagonal/>
    </border>
    <border>
      <left style="dashed">
        <color rgb="FF000000"/>
      </left>
      <right style="thin">
        <color rgb="FF95B3D7"/>
      </right>
      <top/>
      <bottom/>
      <diagonal/>
    </border>
    <border>
      <left style="dashed">
        <color rgb="FF000000"/>
      </left>
      <right style="thin">
        <color theme="4" tint="0.39997558519241921"/>
      </right>
      <top style="thin">
        <color theme="4" tint="0.39997558519241921"/>
      </top>
      <bottom style="thin">
        <color theme="4" tint="0.39997558519241921"/>
      </bottom>
      <diagonal/>
    </border>
    <border>
      <left/>
      <right/>
      <top style="thin">
        <color rgb="FF95B3D7"/>
      </top>
      <bottom/>
      <diagonal/>
    </border>
    <border>
      <left style="dashed">
        <color rgb="FF000000"/>
      </left>
      <right style="thin">
        <color theme="4" tint="0.39997558519241921"/>
      </right>
      <top style="thin">
        <color theme="4" tint="0.39997558519241921"/>
      </top>
      <bottom/>
      <diagonal/>
    </border>
    <border>
      <left/>
      <right/>
      <top style="thin">
        <color rgb="FF95B3D7"/>
      </top>
      <bottom style="thin">
        <color rgb="FF95B3D7"/>
      </bottom>
      <diagonal/>
    </border>
    <border>
      <left style="dashed">
        <color rgb="FF000000"/>
      </left>
      <right style="thin">
        <color theme="4" tint="0.39997558519241921"/>
      </right>
      <top/>
      <bottom style="thin">
        <color theme="4" tint="0.39997558519241921"/>
      </bottom>
      <diagonal/>
    </border>
    <border>
      <left style="thin">
        <color rgb="FF95B3D7"/>
      </left>
      <right/>
      <top style="thin">
        <color rgb="FF95B3D7"/>
      </top>
      <bottom style="thin">
        <color rgb="FF95B3D7"/>
      </bottom>
      <diagonal/>
    </border>
    <border>
      <left style="dashed">
        <color rgb="FF000000"/>
      </left>
      <right style="thin">
        <color rgb="FF95B3D7"/>
      </right>
      <top style="thin">
        <color rgb="FF95B3D7"/>
      </top>
      <bottom style="thin">
        <color rgb="FF95B3D7"/>
      </bottom>
      <diagonal/>
    </border>
    <border>
      <left style="thin">
        <color rgb="FF95B3D7"/>
      </left>
      <right/>
      <top style="thin">
        <color rgb="FF95B3D7"/>
      </top>
      <bottom/>
      <diagonal/>
    </border>
    <border>
      <left style="dashed">
        <color rgb="FF000000"/>
      </left>
      <right style="thin">
        <color rgb="FF95B3D7"/>
      </right>
      <top style="thin">
        <color rgb="FF95B3D7"/>
      </top>
      <bottom/>
      <diagonal/>
    </border>
    <border>
      <left style="thin">
        <color rgb="FF3A3A5C"/>
      </left>
      <right/>
      <top/>
      <bottom/>
      <diagonal/>
    </border>
    <border>
      <left style="thin">
        <color rgb="FF3A3A5C"/>
      </left>
      <right/>
      <top/>
      <bottom style="thin">
        <color rgb="FF3A3A5C"/>
      </bottom>
      <diagonal/>
    </border>
    <border>
      <left/>
      <right style="thin">
        <color rgb="FF3A3A5C"/>
      </right>
      <top/>
      <bottom/>
      <diagonal/>
    </border>
    <border>
      <left/>
      <right style="thin">
        <color rgb="FF3A3A5C"/>
      </right>
      <top/>
      <bottom style="thin">
        <color rgb="FF3A3A5C"/>
      </bottom>
      <diagonal/>
    </border>
    <border>
      <left/>
      <right/>
      <top style="thin">
        <color rgb="FF3A3A5C"/>
      </top>
      <bottom style="thin">
        <color rgb="FF3A3A5C"/>
      </bottom>
      <diagonal/>
    </border>
    <border>
      <left style="thin">
        <color rgb="FF3A3A5C"/>
      </left>
      <right/>
      <top style="thick">
        <color rgb="FF4A90D9"/>
      </top>
      <bottom/>
      <diagonal/>
    </border>
    <border>
      <left/>
      <right style="thin">
        <color rgb="FF3A3A5C"/>
      </right>
      <top style="thick">
        <color rgb="FF4A90D9"/>
      </top>
      <bottom/>
      <diagonal/>
    </border>
    <border>
      <left style="thin">
        <color rgb="FF3A3A5C"/>
      </left>
      <right/>
      <top style="thick">
        <color rgb="FF2ECC71"/>
      </top>
      <bottom/>
      <diagonal/>
    </border>
    <border>
      <left/>
      <right style="thin">
        <color rgb="FF3A3A5C"/>
      </right>
      <top style="thick">
        <color rgb="FF2ECC71"/>
      </top>
      <bottom/>
      <diagonal/>
    </border>
    <border>
      <left style="thin">
        <color rgb="FF3A3A5C"/>
      </left>
      <right/>
      <top style="thick">
        <color rgb="FFF39C12"/>
      </top>
      <bottom/>
      <diagonal/>
    </border>
    <border>
      <left/>
      <right style="thin">
        <color rgb="FF3A3A5C"/>
      </right>
      <top style="thick">
        <color rgb="FFF39C12"/>
      </top>
      <bottom/>
      <diagonal/>
    </border>
    <border>
      <left/>
      <right/>
      <top style="thin">
        <color rgb="FF2A2A4A"/>
      </top>
      <bottom style="thin">
        <color rgb="FF2A2A4A"/>
      </bottom>
      <diagonal/>
    </border>
    <border>
      <left/>
      <right/>
      <top style="thin">
        <color rgb="FF2A2A4A"/>
      </top>
      <bottom/>
      <diagonal/>
    </border>
  </borders>
  <cellStyleXfs count="2">
    <xf numFmtId="0" fontId="0" fillId="0" borderId="0"/>
    <xf numFmtId="0" fontId="16" fillId="0" borderId="0" applyNumberFormat="0" applyFill="0" applyBorder="0" applyAlignment="0" applyProtection="0"/>
  </cellStyleXfs>
  <cellXfs count="279">
    <xf numFmtId="0" fontId="0" fillId="0" borderId="0" xfId="0"/>
    <xf numFmtId="0" fontId="1" fillId="2" borderId="0" xfId="0" applyFont="1" applyFill="1"/>
    <xf numFmtId="0" fontId="3" fillId="4" borderId="3" xfId="0" applyFont="1" applyFill="1" applyBorder="1" applyAlignment="1">
      <alignment horizontal="right" vertical="center"/>
    </xf>
    <xf numFmtId="0" fontId="5" fillId="4" borderId="3" xfId="0" applyFont="1" applyFill="1" applyBorder="1" applyAlignment="1">
      <alignment horizontal="left" vertical="center"/>
    </xf>
    <xf numFmtId="0" fontId="6" fillId="4" borderId="3" xfId="0" applyFont="1" applyFill="1" applyBorder="1" applyAlignment="1">
      <alignment horizontal="right" vertical="center"/>
    </xf>
    <xf numFmtId="0" fontId="7" fillId="4" borderId="3" xfId="0" applyFont="1" applyFill="1" applyBorder="1" applyAlignment="1">
      <alignment horizontal="left" vertical="center"/>
    </xf>
    <xf numFmtId="0" fontId="8" fillId="4" borderId="3" xfId="0" applyFont="1" applyFill="1" applyBorder="1" applyAlignment="1">
      <alignment horizontal="left" vertical="center"/>
    </xf>
    <xf numFmtId="0" fontId="9" fillId="4" borderId="3" xfId="0" applyFont="1" applyFill="1" applyBorder="1" applyAlignment="1">
      <alignment horizontal="right" vertical="center"/>
    </xf>
    <xf numFmtId="0" fontId="10" fillId="4" borderId="3" xfId="0" applyFont="1" applyFill="1" applyBorder="1" applyAlignment="1">
      <alignment horizontal="left" vertical="center"/>
    </xf>
    <xf numFmtId="0" fontId="11" fillId="4" borderId="3" xfId="0" applyFont="1" applyFill="1" applyBorder="1" applyAlignment="1">
      <alignment horizontal="right" vertical="center"/>
    </xf>
    <xf numFmtId="0" fontId="12" fillId="4" borderId="3" xfId="0" applyFont="1" applyFill="1" applyBorder="1" applyAlignment="1">
      <alignment horizontal="left" vertical="center"/>
    </xf>
    <xf numFmtId="0" fontId="13" fillId="6" borderId="1" xfId="0" applyFont="1" applyFill="1" applyBorder="1" applyAlignment="1">
      <alignment horizontal="center" vertical="center" wrapText="1"/>
    </xf>
    <xf numFmtId="0" fontId="2" fillId="5" borderId="3" xfId="0" applyFont="1" applyFill="1" applyBorder="1" applyAlignment="1">
      <alignment horizontal="center" vertical="center"/>
    </xf>
    <xf numFmtId="0" fontId="14" fillId="2" borderId="0" xfId="0" applyFont="1" applyFill="1" applyAlignment="1">
      <alignment horizontal="center" vertical="center"/>
    </xf>
    <xf numFmtId="164" fontId="14" fillId="2" borderId="0" xfId="0" applyNumberFormat="1" applyFont="1" applyFill="1" applyAlignment="1">
      <alignment horizontal="center" vertical="center"/>
    </xf>
    <xf numFmtId="0" fontId="14" fillId="2" borderId="0" xfId="0" applyFont="1" applyFill="1" applyAlignment="1">
      <alignment horizontal="center" vertical="center" wrapText="1"/>
    </xf>
    <xf numFmtId="0" fontId="14" fillId="7" borderId="0" xfId="0" applyFont="1" applyFill="1" applyAlignment="1">
      <alignment horizontal="center" vertical="center"/>
    </xf>
    <xf numFmtId="164" fontId="14" fillId="7" borderId="0" xfId="0" applyNumberFormat="1" applyFont="1" applyFill="1" applyAlignment="1">
      <alignment horizontal="center" vertical="center"/>
    </xf>
    <xf numFmtId="0" fontId="14" fillId="7" borderId="0" xfId="0" applyFont="1" applyFill="1" applyAlignment="1">
      <alignment horizontal="center" vertical="center" wrapText="1"/>
    </xf>
    <xf numFmtId="0" fontId="14" fillId="2" borderId="5" xfId="0" applyFont="1" applyFill="1" applyBorder="1"/>
    <xf numFmtId="0" fontId="15" fillId="2" borderId="5" xfId="0" applyFont="1" applyFill="1" applyBorder="1"/>
    <xf numFmtId="0" fontId="14" fillId="7" borderId="6" xfId="0" applyFont="1" applyFill="1" applyBorder="1"/>
    <xf numFmtId="0" fontId="14" fillId="2" borderId="4" xfId="0" applyFont="1" applyFill="1" applyBorder="1"/>
    <xf numFmtId="0" fontId="15" fillId="7" borderId="6" xfId="0" applyFont="1" applyFill="1" applyBorder="1"/>
    <xf numFmtId="0" fontId="15" fillId="2" borderId="4" xfId="0" applyFont="1" applyFill="1" applyBorder="1"/>
    <xf numFmtId="0" fontId="14" fillId="2" borderId="6" xfId="0" applyFont="1" applyFill="1" applyBorder="1"/>
    <xf numFmtId="0" fontId="15" fillId="2" borderId="6" xfId="0" applyFont="1" applyFill="1" applyBorder="1"/>
    <xf numFmtId="0" fontId="17" fillId="5" borderId="3" xfId="1" applyFont="1" applyFill="1" applyBorder="1" applyAlignment="1">
      <alignment horizontal="center" vertical="center"/>
    </xf>
    <xf numFmtId="0" fontId="18" fillId="5" borderId="3" xfId="0" applyFont="1" applyFill="1" applyBorder="1" applyAlignment="1">
      <alignment horizontal="center" vertical="center"/>
    </xf>
    <xf numFmtId="0" fontId="12" fillId="4" borderId="3" xfId="0" applyFont="1" applyFill="1" applyBorder="1" applyAlignment="1">
      <alignment horizontal="right" vertical="center"/>
    </xf>
    <xf numFmtId="0" fontId="19" fillId="8" borderId="0" xfId="0" applyFont="1" applyFill="1" applyAlignment="1">
      <alignment vertical="top"/>
    </xf>
    <xf numFmtId="0" fontId="19" fillId="0" borderId="0" xfId="0" applyFont="1" applyAlignment="1">
      <alignment vertical="top"/>
    </xf>
    <xf numFmtId="0" fontId="14" fillId="7" borderId="0" xfId="0" applyFont="1" applyFill="1" applyAlignment="1">
      <alignment horizontal="center"/>
    </xf>
    <xf numFmtId="164" fontId="14" fillId="7" borderId="0" xfId="0" applyNumberFormat="1" applyFont="1" applyFill="1" applyAlignment="1">
      <alignment horizontal="center"/>
    </xf>
    <xf numFmtId="0" fontId="20" fillId="8" borderId="0" xfId="0" applyFont="1" applyFill="1" applyAlignment="1">
      <alignment horizontal="center" vertical="top"/>
    </xf>
    <xf numFmtId="0" fontId="20" fillId="7" borderId="0" xfId="0" applyFont="1" applyFill="1" applyAlignment="1">
      <alignment horizontal="center" vertical="top"/>
    </xf>
    <xf numFmtId="0" fontId="14" fillId="2" borderId="0" xfId="0" applyFont="1" applyFill="1" applyAlignment="1">
      <alignment horizontal="center"/>
    </xf>
    <xf numFmtId="164" fontId="14" fillId="2" borderId="0" xfId="0" applyNumberFormat="1" applyFont="1" applyFill="1" applyAlignment="1">
      <alignment horizontal="center"/>
    </xf>
    <xf numFmtId="0" fontId="20" fillId="2" borderId="0" xfId="0" applyFont="1" applyFill="1" applyAlignment="1">
      <alignment horizontal="center" vertical="top"/>
    </xf>
    <xf numFmtId="0" fontId="13" fillId="6" borderId="0" xfId="0" applyFont="1" applyFill="1" applyAlignment="1">
      <alignment horizontal="center" vertical="center" wrapText="1"/>
    </xf>
    <xf numFmtId="0" fontId="3" fillId="4" borderId="3" xfId="0" applyFont="1" applyFill="1" applyBorder="1" applyAlignment="1">
      <alignment horizontal="right" vertical="top"/>
    </xf>
    <xf numFmtId="0" fontId="22" fillId="5" borderId="3" xfId="0" applyFont="1" applyFill="1" applyBorder="1" applyAlignment="1">
      <alignment horizontal="center" vertical="center"/>
    </xf>
    <xf numFmtId="0" fontId="21" fillId="6" borderId="0" xfId="0" applyFont="1" applyFill="1" applyAlignment="1">
      <alignment horizontal="center" vertical="center" textRotation="45" wrapText="1"/>
    </xf>
    <xf numFmtId="0" fontId="25" fillId="6" borderId="0" xfId="0" applyFont="1" applyFill="1" applyAlignment="1">
      <alignment horizontal="center" vertical="center" textRotation="45" wrapText="1"/>
    </xf>
    <xf numFmtId="0" fontId="26" fillId="4" borderId="3" xfId="0" applyFont="1" applyFill="1" applyBorder="1" applyAlignment="1">
      <alignment horizontal="left" vertical="center"/>
    </xf>
    <xf numFmtId="0" fontId="4" fillId="3" borderId="0" xfId="0" applyFont="1" applyFill="1" applyAlignment="1">
      <alignment horizontal="center" vertical="center"/>
    </xf>
    <xf numFmtId="0" fontId="22" fillId="5" borderId="3" xfId="0" applyFont="1" applyFill="1" applyBorder="1" applyAlignment="1">
      <alignment horizontal="center" vertical="center" wrapText="1"/>
    </xf>
    <xf numFmtId="14" fontId="14" fillId="7" borderId="0" xfId="0" applyNumberFormat="1" applyFont="1" applyFill="1" applyAlignment="1">
      <alignment horizontal="center" vertical="center"/>
    </xf>
    <xf numFmtId="14" fontId="14" fillId="2" borderId="0" xfId="0" applyNumberFormat="1" applyFont="1" applyFill="1" applyAlignment="1">
      <alignment horizontal="center" vertical="center"/>
    </xf>
    <xf numFmtId="14" fontId="14" fillId="2" borderId="0" xfId="0" applyNumberFormat="1" applyFont="1" applyFill="1" applyAlignment="1">
      <alignment horizontal="center"/>
    </xf>
    <xf numFmtId="14" fontId="14" fillId="7" borderId="0" xfId="0" applyNumberFormat="1" applyFont="1" applyFill="1" applyAlignment="1">
      <alignment horizontal="center"/>
    </xf>
    <xf numFmtId="0" fontId="14" fillId="7" borderId="0" xfId="0" applyFont="1" applyFill="1" applyAlignment="1">
      <alignment horizontal="left" vertical="center" wrapText="1"/>
    </xf>
    <xf numFmtId="0" fontId="14" fillId="2" borderId="0" xfId="0" applyFont="1" applyFill="1" applyAlignment="1">
      <alignment horizontal="left" vertical="center" wrapText="1"/>
    </xf>
    <xf numFmtId="0" fontId="14" fillId="2" borderId="0" xfId="0" applyFont="1" applyFill="1" applyAlignment="1">
      <alignment horizontal="left" vertical="center"/>
    </xf>
    <xf numFmtId="0" fontId="14" fillId="7" borderId="0" xfId="0" applyFont="1" applyFill="1" applyAlignment="1">
      <alignment horizontal="left" vertical="center"/>
    </xf>
    <xf numFmtId="0" fontId="13" fillId="6" borderId="8" xfId="0" applyFont="1" applyFill="1" applyBorder="1" applyAlignment="1">
      <alignment horizontal="center" vertical="center" wrapText="1"/>
    </xf>
    <xf numFmtId="0" fontId="14" fillId="7" borderId="9" xfId="0" applyFont="1" applyFill="1" applyBorder="1" applyAlignment="1">
      <alignment vertical="center" wrapText="1"/>
    </xf>
    <xf numFmtId="0" fontId="14" fillId="2" borderId="9" xfId="0" applyFont="1" applyFill="1" applyBorder="1" applyAlignment="1">
      <alignment vertical="center" wrapText="1"/>
    </xf>
    <xf numFmtId="0" fontId="14" fillId="2" borderId="9" xfId="0" applyFont="1" applyFill="1" applyBorder="1" applyAlignment="1">
      <alignment vertical="center"/>
    </xf>
    <xf numFmtId="0" fontId="14" fillId="7" borderId="9" xfId="0" applyFont="1" applyFill="1" applyBorder="1" applyAlignment="1">
      <alignment vertical="center"/>
    </xf>
    <xf numFmtId="0" fontId="20" fillId="8" borderId="0" xfId="0" applyFont="1" applyFill="1" applyAlignment="1">
      <alignment horizontal="center" vertical="top" wrapText="1"/>
    </xf>
    <xf numFmtId="0" fontId="14" fillId="7" borderId="10" xfId="0" applyFont="1" applyFill="1" applyBorder="1" applyAlignment="1">
      <alignment horizontal="center"/>
    </xf>
    <xf numFmtId="164" fontId="14" fillId="7" borderId="10" xfId="0" applyNumberFormat="1" applyFont="1" applyFill="1" applyBorder="1" applyAlignment="1">
      <alignment horizontal="center"/>
    </xf>
    <xf numFmtId="0" fontId="14" fillId="7" borderId="10" xfId="0" applyFont="1" applyFill="1" applyBorder="1" applyAlignment="1">
      <alignment horizontal="left" vertical="center"/>
    </xf>
    <xf numFmtId="0" fontId="14" fillId="2" borderId="10" xfId="0" applyFont="1" applyFill="1" applyBorder="1" applyAlignment="1">
      <alignment horizontal="center"/>
    </xf>
    <xf numFmtId="164" fontId="14" fillId="2" borderId="10" xfId="0" applyNumberFormat="1" applyFont="1" applyFill="1" applyBorder="1" applyAlignment="1">
      <alignment horizontal="center"/>
    </xf>
    <xf numFmtId="0" fontId="14" fillId="2" borderId="10" xfId="0" applyFont="1" applyFill="1" applyBorder="1" applyAlignment="1">
      <alignment horizontal="left" vertical="center"/>
    </xf>
    <xf numFmtId="0" fontId="14" fillId="7" borderId="17" xfId="0" applyFont="1" applyFill="1" applyBorder="1" applyAlignment="1">
      <alignment vertical="center"/>
    </xf>
    <xf numFmtId="0" fontId="14" fillId="2" borderId="12" xfId="0" applyFont="1" applyFill="1" applyBorder="1" applyAlignment="1">
      <alignment horizontal="center"/>
    </xf>
    <xf numFmtId="164" fontId="14" fillId="2" borderId="12" xfId="0" applyNumberFormat="1" applyFont="1" applyFill="1" applyBorder="1" applyAlignment="1">
      <alignment horizontal="center"/>
    </xf>
    <xf numFmtId="0" fontId="14" fillId="2" borderId="12" xfId="0" applyFont="1" applyFill="1" applyBorder="1" applyAlignment="1">
      <alignment horizontal="left" vertical="center"/>
    </xf>
    <xf numFmtId="0" fontId="14" fillId="2" borderId="15" xfId="0" applyFont="1" applyFill="1" applyBorder="1" applyAlignment="1">
      <alignment vertical="center"/>
    </xf>
    <xf numFmtId="0" fontId="14" fillId="2" borderId="17" xfId="0" applyFont="1" applyFill="1" applyBorder="1" applyAlignment="1">
      <alignment vertical="center"/>
    </xf>
    <xf numFmtId="0" fontId="14" fillId="2" borderId="16" xfId="0" applyFont="1" applyFill="1" applyBorder="1" applyAlignment="1">
      <alignment horizontal="center" vertical="center" wrapText="1"/>
    </xf>
    <xf numFmtId="0" fontId="14" fillId="7" borderId="16" xfId="0" applyFont="1" applyFill="1" applyBorder="1" applyAlignment="1">
      <alignment horizontal="center" vertical="center" wrapText="1"/>
    </xf>
    <xf numFmtId="0" fontId="20" fillId="8" borderId="0" xfId="0" applyFont="1" applyFill="1" applyAlignment="1">
      <alignment horizontal="center" vertical="center" wrapText="1"/>
    </xf>
    <xf numFmtId="0" fontId="20" fillId="7" borderId="0" xfId="0" applyFont="1" applyFill="1" applyAlignment="1">
      <alignment horizontal="center" vertical="center" wrapText="1"/>
    </xf>
    <xf numFmtId="0" fontId="20" fillId="2" borderId="0" xfId="0" applyFont="1" applyFill="1" applyAlignment="1">
      <alignment horizontal="center" vertical="top" wrapText="1"/>
    </xf>
    <xf numFmtId="0" fontId="14" fillId="2" borderId="0" xfId="0" applyFont="1" applyFill="1" applyAlignment="1">
      <alignment horizontal="left" vertical="top" wrapText="1"/>
    </xf>
    <xf numFmtId="0" fontId="0" fillId="4" borderId="3" xfId="0" applyFill="1" applyBorder="1" applyAlignment="1">
      <alignment horizontal="left" vertical="center"/>
    </xf>
    <xf numFmtId="0" fontId="14" fillId="2" borderId="11" xfId="0" applyFont="1" applyFill="1" applyBorder="1" applyAlignment="1">
      <alignment vertical="center"/>
    </xf>
    <xf numFmtId="0" fontId="14" fillId="2" borderId="14" xfId="0" applyFont="1" applyFill="1" applyBorder="1" applyAlignment="1">
      <alignment horizontal="center" vertical="center" wrapText="1"/>
    </xf>
    <xf numFmtId="0" fontId="0" fillId="0" borderId="0" xfId="0" applyAlignment="1">
      <alignment vertical="center" wrapText="1"/>
    </xf>
    <xf numFmtId="0" fontId="14" fillId="7" borderId="12" xfId="0" applyFont="1" applyFill="1" applyBorder="1" applyAlignment="1">
      <alignment horizontal="center"/>
    </xf>
    <xf numFmtId="164" fontId="14" fillId="7" borderId="12" xfId="0" applyNumberFormat="1" applyFont="1" applyFill="1" applyBorder="1" applyAlignment="1">
      <alignment horizontal="center"/>
    </xf>
    <xf numFmtId="0" fontId="14" fillId="7" borderId="12" xfId="0" applyFont="1" applyFill="1" applyBorder="1" applyAlignment="1">
      <alignment horizontal="left" vertical="center"/>
    </xf>
    <xf numFmtId="0" fontId="14" fillId="7" borderId="14" xfId="0" applyFont="1" applyFill="1" applyBorder="1" applyAlignment="1">
      <alignment horizontal="center" vertical="center" wrapText="1"/>
    </xf>
    <xf numFmtId="0" fontId="14" fillId="7" borderId="15" xfId="0" applyFont="1" applyFill="1" applyBorder="1" applyAlignment="1">
      <alignment vertical="center"/>
    </xf>
    <xf numFmtId="0" fontId="29" fillId="11" borderId="0" xfId="0" applyFont="1" applyFill="1"/>
    <xf numFmtId="0" fontId="29" fillId="12" borderId="0" xfId="0" applyFont="1" applyFill="1"/>
    <xf numFmtId="0" fontId="29" fillId="13" borderId="0" xfId="0" applyFont="1" applyFill="1"/>
    <xf numFmtId="0" fontId="37" fillId="14" borderId="0" xfId="0" applyFont="1" applyFill="1"/>
    <xf numFmtId="0" fontId="37" fillId="14" borderId="0" xfId="0" applyFont="1" applyFill="1" applyAlignment="1">
      <alignment horizontal="left"/>
    </xf>
    <xf numFmtId="0" fontId="37" fillId="14" borderId="0" xfId="0" applyFont="1" applyFill="1" applyAlignment="1">
      <alignment horizontal="center"/>
    </xf>
    <xf numFmtId="0" fontId="38" fillId="13" borderId="0" xfId="0" applyFont="1" applyFill="1"/>
    <xf numFmtId="0" fontId="38" fillId="13" borderId="0" xfId="0" applyFont="1" applyFill="1" applyAlignment="1">
      <alignment horizontal="left"/>
    </xf>
    <xf numFmtId="0" fontId="39" fillId="13" borderId="0" xfId="0" applyFont="1" applyFill="1" applyAlignment="1">
      <alignment horizontal="center"/>
    </xf>
    <xf numFmtId="9" fontId="38" fillId="13" borderId="0" xfId="0" applyNumberFormat="1" applyFont="1" applyFill="1" applyAlignment="1">
      <alignment horizontal="center"/>
    </xf>
    <xf numFmtId="0" fontId="40" fillId="13" borderId="0" xfId="0" applyFont="1" applyFill="1" applyAlignment="1">
      <alignment horizontal="left"/>
    </xf>
    <xf numFmtId="9" fontId="40" fillId="13" borderId="0" xfId="0" applyNumberFormat="1" applyFont="1" applyFill="1" applyAlignment="1">
      <alignment horizontal="center"/>
    </xf>
    <xf numFmtId="0" fontId="41" fillId="13" borderId="0" xfId="0" applyFont="1" applyFill="1"/>
    <xf numFmtId="0" fontId="41" fillId="13" borderId="0" xfId="0" applyFont="1" applyFill="1" applyAlignment="1">
      <alignment horizontal="left"/>
    </xf>
    <xf numFmtId="9" fontId="41" fillId="13" borderId="0" xfId="0" applyNumberFormat="1" applyFont="1" applyFill="1" applyAlignment="1">
      <alignment horizontal="center"/>
    </xf>
    <xf numFmtId="0" fontId="42" fillId="13" borderId="0" xfId="0" applyFont="1" applyFill="1"/>
    <xf numFmtId="0" fontId="42" fillId="13" borderId="0" xfId="0" applyFont="1" applyFill="1" applyAlignment="1">
      <alignment horizontal="left"/>
    </xf>
    <xf numFmtId="9" fontId="42" fillId="13" borderId="0" xfId="0" applyNumberFormat="1" applyFont="1" applyFill="1" applyAlignment="1">
      <alignment horizontal="center"/>
    </xf>
    <xf numFmtId="0" fontId="43" fillId="13" borderId="0" xfId="0" applyFont="1" applyFill="1" applyAlignment="1">
      <alignment horizontal="left"/>
    </xf>
    <xf numFmtId="9" fontId="43" fillId="13" borderId="0" xfId="0" applyNumberFormat="1" applyFont="1" applyFill="1" applyAlignment="1">
      <alignment horizontal="center"/>
    </xf>
    <xf numFmtId="0" fontId="44" fillId="13" borderId="0" xfId="0" applyFont="1" applyFill="1"/>
    <xf numFmtId="0" fontId="46" fillId="13" borderId="0" xfId="0" applyFont="1" applyFill="1"/>
    <xf numFmtId="0" fontId="47" fillId="13" borderId="0" xfId="0" applyFont="1" applyFill="1"/>
    <xf numFmtId="0" fontId="48" fillId="13" borderId="0" xfId="0" applyFont="1" applyFill="1"/>
    <xf numFmtId="0" fontId="49" fillId="13" borderId="0" xfId="0" applyFont="1" applyFill="1"/>
    <xf numFmtId="0" fontId="32" fillId="13" borderId="0" xfId="0" applyFont="1" applyFill="1"/>
    <xf numFmtId="0" fontId="29" fillId="11" borderId="22" xfId="0" applyFont="1" applyFill="1" applyBorder="1"/>
    <xf numFmtId="0" fontId="30" fillId="13" borderId="22" xfId="0" applyFont="1" applyFill="1" applyBorder="1"/>
    <xf numFmtId="0" fontId="29" fillId="14" borderId="0" xfId="0" applyFont="1" applyFill="1"/>
    <xf numFmtId="0" fontId="62" fillId="11" borderId="0" xfId="0" applyFont="1" applyFill="1"/>
    <xf numFmtId="0" fontId="37" fillId="14" borderId="22" xfId="0" applyFont="1" applyFill="1" applyBorder="1"/>
    <xf numFmtId="0" fontId="37" fillId="14" borderId="22" xfId="0" applyFont="1" applyFill="1" applyBorder="1" applyAlignment="1">
      <alignment horizontal="center"/>
    </xf>
    <xf numFmtId="0" fontId="50" fillId="14" borderId="22" xfId="0" applyFont="1" applyFill="1" applyBorder="1" applyAlignment="1">
      <alignment horizontal="center"/>
    </xf>
    <xf numFmtId="0" fontId="51" fillId="14" borderId="22" xfId="0" applyFont="1" applyFill="1" applyBorder="1" applyAlignment="1">
      <alignment horizontal="center"/>
    </xf>
    <xf numFmtId="0" fontId="52" fillId="14" borderId="22" xfId="0" applyFont="1" applyFill="1" applyBorder="1" applyAlignment="1">
      <alignment horizontal="center"/>
    </xf>
    <xf numFmtId="0" fontId="39" fillId="14" borderId="22" xfId="0" applyFont="1" applyFill="1" applyBorder="1"/>
    <xf numFmtId="0" fontId="39" fillId="14" borderId="22" xfId="0" applyFont="1" applyFill="1" applyBorder="1" applyAlignment="1">
      <alignment horizontal="center"/>
    </xf>
    <xf numFmtId="0" fontId="53" fillId="14" borderId="22" xfId="0" applyFont="1" applyFill="1" applyBorder="1" applyAlignment="1">
      <alignment horizontal="center"/>
    </xf>
    <xf numFmtId="0" fontId="54" fillId="14" borderId="22" xfId="0" applyFont="1" applyFill="1" applyBorder="1" applyAlignment="1">
      <alignment horizontal="center"/>
    </xf>
    <xf numFmtId="0" fontId="55" fillId="14" borderId="22" xfId="0" applyFont="1" applyFill="1" applyBorder="1" applyAlignment="1">
      <alignment horizontal="center"/>
    </xf>
    <xf numFmtId="9" fontId="53" fillId="14" borderId="22" xfId="0" applyNumberFormat="1" applyFont="1" applyFill="1" applyBorder="1" applyAlignment="1">
      <alignment horizontal="center"/>
    </xf>
    <xf numFmtId="0" fontId="45" fillId="13" borderId="0" xfId="0" applyFont="1" applyFill="1" applyAlignment="1">
      <alignment horizontal="center"/>
    </xf>
    <xf numFmtId="0" fontId="29" fillId="11" borderId="29" xfId="0" applyFont="1" applyFill="1" applyBorder="1"/>
    <xf numFmtId="0" fontId="45" fillId="13" borderId="30" xfId="0" applyFont="1" applyFill="1" applyBorder="1" applyAlignment="1">
      <alignment horizontal="center"/>
    </xf>
    <xf numFmtId="0" fontId="30" fillId="13" borderId="30" xfId="0" applyFont="1" applyFill="1" applyBorder="1" applyAlignment="1">
      <alignment horizontal="center"/>
    </xf>
    <xf numFmtId="0" fontId="39" fillId="13" borderId="30" xfId="0" applyFont="1" applyFill="1" applyBorder="1" applyAlignment="1">
      <alignment horizontal="center"/>
    </xf>
    <xf numFmtId="0" fontId="29" fillId="11" borderId="30" xfId="0" applyFont="1" applyFill="1" applyBorder="1"/>
    <xf numFmtId="0" fontId="40" fillId="13" borderId="0" xfId="0" applyFont="1" applyFill="1"/>
    <xf numFmtId="0" fontId="41" fillId="13" borderId="30" xfId="0" applyFont="1" applyFill="1" applyBorder="1"/>
    <xf numFmtId="0" fontId="47" fillId="13" borderId="30" xfId="0" applyFont="1" applyFill="1" applyBorder="1"/>
    <xf numFmtId="0" fontId="56" fillId="13" borderId="30" xfId="0" applyFont="1" applyFill="1" applyBorder="1"/>
    <xf numFmtId="0" fontId="57" fillId="13" borderId="30" xfId="0" applyFont="1" applyFill="1" applyBorder="1"/>
    <xf numFmtId="0" fontId="58" fillId="13" borderId="30" xfId="0" applyFont="1" applyFill="1" applyBorder="1"/>
    <xf numFmtId="0" fontId="59" fillId="13" borderId="30" xfId="0" applyFont="1" applyFill="1" applyBorder="1"/>
    <xf numFmtId="0" fontId="38" fillId="13" borderId="30" xfId="0" applyFont="1" applyFill="1" applyBorder="1"/>
    <xf numFmtId="0" fontId="44" fillId="13" borderId="30" xfId="0" applyFont="1" applyFill="1" applyBorder="1"/>
    <xf numFmtId="0" fontId="60" fillId="13" borderId="29" xfId="0" applyFont="1" applyFill="1" applyBorder="1"/>
    <xf numFmtId="0" fontId="61" fillId="13" borderId="29" xfId="0" applyFont="1" applyFill="1" applyBorder="1"/>
    <xf numFmtId="0" fontId="42" fillId="13" borderId="30" xfId="0" applyFont="1" applyFill="1" applyBorder="1"/>
    <xf numFmtId="0" fontId="48" fillId="13" borderId="30" xfId="0" applyFont="1" applyFill="1" applyBorder="1"/>
    <xf numFmtId="0" fontId="30" fillId="11" borderId="30" xfId="0" applyFont="1" applyFill="1" applyBorder="1"/>
    <xf numFmtId="9" fontId="40" fillId="11" borderId="0" xfId="0" applyNumberFormat="1" applyFont="1" applyFill="1" applyAlignment="1">
      <alignment horizontal="center"/>
    </xf>
    <xf numFmtId="0" fontId="29" fillId="13" borderId="30" xfId="0" applyFont="1" applyFill="1" applyBorder="1"/>
    <xf numFmtId="0" fontId="29" fillId="13" borderId="29" xfId="0" applyFont="1" applyFill="1" applyBorder="1"/>
    <xf numFmtId="0" fontId="63" fillId="0" borderId="0" xfId="0" applyFont="1"/>
    <xf numFmtId="0" fontId="66" fillId="13" borderId="0" xfId="0" applyFont="1" applyFill="1"/>
    <xf numFmtId="0" fontId="20" fillId="7" borderId="0" xfId="0" applyFont="1" applyFill="1" applyAlignment="1">
      <alignment horizontal="center" vertical="top" wrapText="1"/>
    </xf>
    <xf numFmtId="0" fontId="20" fillId="8" borderId="0" xfId="0" applyFont="1" applyFill="1" applyAlignment="1">
      <alignment horizontal="center" vertical="center"/>
    </xf>
    <xf numFmtId="0" fontId="20" fillId="8" borderId="10" xfId="0" applyFont="1" applyFill="1" applyBorder="1" applyAlignment="1">
      <alignment horizontal="center" vertical="top"/>
    </xf>
    <xf numFmtId="0" fontId="20" fillId="2" borderId="10" xfId="0" applyFont="1" applyFill="1" applyBorder="1" applyAlignment="1">
      <alignment horizontal="center" vertical="top"/>
    </xf>
    <xf numFmtId="14" fontId="14" fillId="7" borderId="10" xfId="0" applyNumberFormat="1" applyFont="1" applyFill="1" applyBorder="1" applyAlignment="1">
      <alignment horizontal="center"/>
    </xf>
    <xf numFmtId="0" fontId="28" fillId="2" borderId="0" xfId="0" applyFont="1" applyFill="1" applyAlignment="1">
      <alignment horizontal="center" vertical="top" wrapText="1"/>
    </xf>
    <xf numFmtId="0" fontId="27" fillId="10" borderId="0" xfId="0" applyFont="1" applyFill="1" applyAlignment="1">
      <alignment horizontal="center"/>
    </xf>
    <xf numFmtId="165" fontId="14" fillId="2" borderId="0" xfId="0" applyNumberFormat="1" applyFont="1" applyFill="1" applyAlignment="1">
      <alignment horizontal="center"/>
    </xf>
    <xf numFmtId="0" fontId="14" fillId="7" borderId="11" xfId="0" applyFont="1" applyFill="1" applyBorder="1" applyAlignment="1">
      <alignment vertical="center"/>
    </xf>
    <xf numFmtId="0" fontId="0" fillId="13" borderId="29" xfId="0" applyFill="1" applyBorder="1" applyAlignment="1">
      <alignment horizontal="center"/>
    </xf>
    <xf numFmtId="0" fontId="0" fillId="11" borderId="0" xfId="0" applyFill="1"/>
    <xf numFmtId="0" fontId="14" fillId="7" borderId="12" xfId="0" applyFont="1" applyFill="1" applyBorder="1" applyAlignment="1">
      <alignment horizontal="center" vertical="center"/>
    </xf>
    <xf numFmtId="0" fontId="14" fillId="2" borderId="12" xfId="0" applyFont="1" applyFill="1" applyBorder="1" applyAlignment="1">
      <alignment horizontal="center" vertical="center"/>
    </xf>
    <xf numFmtId="0" fontId="14" fillId="2" borderId="10" xfId="0" applyFont="1" applyFill="1" applyBorder="1" applyAlignment="1">
      <alignment horizontal="center" vertical="center"/>
    </xf>
    <xf numFmtId="0" fontId="14" fillId="7" borderId="10" xfId="0" applyFont="1" applyFill="1" applyBorder="1" applyAlignment="1">
      <alignment horizontal="center" vertical="center"/>
    </xf>
    <xf numFmtId="0" fontId="0" fillId="0" borderId="0" xfId="0" applyAlignment="1">
      <alignment vertical="center"/>
    </xf>
    <xf numFmtId="0" fontId="20" fillId="7" borderId="10" xfId="0" applyFont="1" applyFill="1" applyBorder="1" applyAlignment="1">
      <alignment horizontal="center" vertical="top"/>
    </xf>
    <xf numFmtId="0" fontId="28" fillId="7" borderId="0" xfId="0" applyFont="1" applyFill="1" applyAlignment="1">
      <alignment horizontal="center" vertical="top" wrapText="1"/>
    </xf>
    <xf numFmtId="0" fontId="20" fillId="7" borderId="10" xfId="0" applyFont="1" applyFill="1" applyBorder="1" applyAlignment="1">
      <alignment horizontal="center" vertical="top" wrapText="1"/>
    </xf>
    <xf numFmtId="0" fontId="20" fillId="2" borderId="10" xfId="0" applyFont="1" applyFill="1" applyBorder="1" applyAlignment="1">
      <alignment horizontal="center" vertical="top" wrapText="1"/>
    </xf>
    <xf numFmtId="0" fontId="28" fillId="9" borderId="0" xfId="0" applyFont="1" applyFill="1" applyAlignment="1">
      <alignment horizontal="center" vertical="top" wrapText="1"/>
    </xf>
    <xf numFmtId="0" fontId="27" fillId="10" borderId="0" xfId="0" applyFont="1" applyFill="1" applyAlignment="1">
      <alignment horizontal="center" vertical="center"/>
    </xf>
    <xf numFmtId="165" fontId="14" fillId="7" borderId="0" xfId="0" applyNumberFormat="1" applyFont="1" applyFill="1" applyAlignment="1">
      <alignment horizontal="center"/>
    </xf>
    <xf numFmtId="14" fontId="14" fillId="2" borderId="10" xfId="0" applyNumberFormat="1" applyFont="1" applyFill="1" applyBorder="1" applyAlignment="1">
      <alignment horizontal="center"/>
    </xf>
    <xf numFmtId="165" fontId="14" fillId="7" borderId="0" xfId="0" applyNumberFormat="1" applyFont="1" applyFill="1" applyAlignment="1">
      <alignment horizontal="center" vertical="center"/>
    </xf>
    <xf numFmtId="165" fontId="14" fillId="2" borderId="0" xfId="0" applyNumberFormat="1" applyFont="1" applyFill="1" applyAlignment="1">
      <alignment horizontal="center" vertical="center"/>
    </xf>
    <xf numFmtId="0" fontId="14" fillId="2" borderId="12" xfId="0" applyFont="1" applyFill="1" applyBorder="1" applyAlignment="1">
      <alignment horizontal="left" vertical="center" wrapText="1"/>
    </xf>
    <xf numFmtId="0" fontId="20" fillId="8" borderId="10" xfId="0" applyFont="1" applyFill="1" applyBorder="1" applyAlignment="1">
      <alignment horizontal="center" vertical="top" wrapText="1"/>
    </xf>
    <xf numFmtId="0" fontId="60" fillId="13" borderId="30" xfId="0" applyFont="1" applyFill="1" applyBorder="1"/>
    <xf numFmtId="0" fontId="61" fillId="13" borderId="30" xfId="0" applyFont="1" applyFill="1" applyBorder="1"/>
    <xf numFmtId="0" fontId="68" fillId="14" borderId="22" xfId="0" applyFont="1" applyFill="1" applyBorder="1" applyAlignment="1">
      <alignment horizontal="center"/>
    </xf>
    <xf numFmtId="166" fontId="68" fillId="14" borderId="22" xfId="0" applyNumberFormat="1" applyFont="1" applyFill="1" applyBorder="1" applyAlignment="1">
      <alignment horizontal="center"/>
    </xf>
    <xf numFmtId="0" fontId="14" fillId="7" borderId="10" xfId="0" applyFont="1" applyFill="1" applyBorder="1" applyAlignment="1">
      <alignment horizontal="center" vertical="center" wrapText="1"/>
    </xf>
    <xf numFmtId="164" fontId="14" fillId="7" borderId="10" xfId="0" applyNumberFormat="1" applyFont="1" applyFill="1" applyBorder="1" applyAlignment="1">
      <alignment horizontal="center" vertical="center"/>
    </xf>
    <xf numFmtId="14" fontId="14" fillId="7" borderId="10" xfId="0" applyNumberFormat="1" applyFont="1" applyFill="1" applyBorder="1" applyAlignment="1">
      <alignment horizontal="center" vertical="center"/>
    </xf>
    <xf numFmtId="0" fontId="14" fillId="7" borderId="10" xfId="0" applyFont="1" applyFill="1" applyBorder="1" applyAlignment="1">
      <alignment horizontal="left" vertical="center" wrapText="1"/>
    </xf>
    <xf numFmtId="0" fontId="14" fillId="7" borderId="17" xfId="0" applyFont="1" applyFill="1" applyBorder="1" applyAlignment="1">
      <alignment vertical="center" wrapText="1"/>
    </xf>
    <xf numFmtId="0" fontId="20" fillId="8" borderId="10" xfId="0" applyFont="1" applyFill="1" applyBorder="1" applyAlignment="1">
      <alignment horizontal="center" vertical="center" wrapText="1"/>
    </xf>
    <xf numFmtId="0" fontId="20" fillId="2" borderId="10" xfId="0" applyFont="1" applyFill="1" applyBorder="1" applyAlignment="1">
      <alignment horizontal="center" vertical="center" wrapText="1"/>
    </xf>
    <xf numFmtId="0" fontId="28" fillId="9" borderId="0" xfId="0" applyFont="1" applyFill="1" applyAlignment="1">
      <alignment horizontal="center" vertical="top"/>
    </xf>
    <xf numFmtId="0" fontId="20" fillId="8" borderId="12" xfId="0" applyFont="1" applyFill="1" applyBorder="1" applyAlignment="1">
      <alignment horizontal="center" vertical="top"/>
    </xf>
    <xf numFmtId="0" fontId="28" fillId="2" borderId="0" xfId="0" applyFont="1" applyFill="1" applyAlignment="1">
      <alignment horizontal="center" vertical="top"/>
    </xf>
    <xf numFmtId="0" fontId="20" fillId="7" borderId="12" xfId="0" applyFont="1" applyFill="1" applyBorder="1" applyAlignment="1">
      <alignment horizontal="center" vertical="top"/>
    </xf>
    <xf numFmtId="0" fontId="20" fillId="7" borderId="10" xfId="0" applyFont="1" applyFill="1" applyBorder="1" applyAlignment="1">
      <alignment horizontal="center" vertical="center" wrapText="1"/>
    </xf>
    <xf numFmtId="14" fontId="14" fillId="7" borderId="12" xfId="0" applyNumberFormat="1" applyFont="1" applyFill="1" applyBorder="1" applyAlignment="1">
      <alignment horizontal="center"/>
    </xf>
    <xf numFmtId="0" fontId="28" fillId="7" borderId="0" xfId="0" applyFont="1" applyFill="1" applyAlignment="1">
      <alignment horizontal="center" vertical="top"/>
    </xf>
    <xf numFmtId="0" fontId="14" fillId="2" borderId="10" xfId="0" applyFont="1" applyFill="1" applyBorder="1" applyAlignment="1">
      <alignment horizontal="center" vertical="center" wrapText="1"/>
    </xf>
    <xf numFmtId="164" fontId="14" fillId="2" borderId="10" xfId="0" applyNumberFormat="1" applyFont="1" applyFill="1" applyBorder="1" applyAlignment="1">
      <alignment horizontal="center" vertical="center"/>
    </xf>
    <xf numFmtId="14" fontId="14" fillId="2" borderId="10" xfId="0" applyNumberFormat="1" applyFont="1" applyFill="1" applyBorder="1" applyAlignment="1">
      <alignment horizontal="center" vertical="center"/>
    </xf>
    <xf numFmtId="0" fontId="14" fillId="2" borderId="10" xfId="0" applyFont="1" applyFill="1" applyBorder="1" applyAlignment="1">
      <alignment horizontal="left" vertical="center" wrapText="1"/>
    </xf>
    <xf numFmtId="0" fontId="14" fillId="2" borderId="17" xfId="0" applyFont="1" applyFill="1" applyBorder="1" applyAlignment="1">
      <alignment vertical="center" wrapText="1"/>
    </xf>
    <xf numFmtId="0" fontId="30" fillId="13" borderId="0" xfId="0" applyFont="1" applyFill="1" applyAlignment="1">
      <alignment horizontal="center"/>
    </xf>
    <xf numFmtId="14" fontId="14" fillId="7" borderId="0" xfId="0" applyNumberFormat="1" applyFont="1" applyFill="1" applyAlignment="1">
      <alignment horizontal="left" vertical="center" wrapText="1"/>
    </xf>
    <xf numFmtId="14" fontId="14" fillId="2" borderId="0" xfId="0" applyNumberFormat="1" applyFont="1" applyFill="1" applyAlignment="1">
      <alignment horizontal="left" vertical="center" wrapText="1"/>
    </xf>
    <xf numFmtId="14" fontId="14" fillId="2" borderId="0" xfId="0" applyNumberFormat="1" applyFont="1" applyFill="1" applyAlignment="1">
      <alignment horizontal="left" vertical="center"/>
    </xf>
    <xf numFmtId="14" fontId="14" fillId="7" borderId="0" xfId="0" applyNumberFormat="1" applyFont="1" applyFill="1" applyAlignment="1">
      <alignment horizontal="left" vertical="center"/>
    </xf>
    <xf numFmtId="14" fontId="14" fillId="2" borderId="0" xfId="0" applyNumberFormat="1" applyFont="1" applyFill="1" applyAlignment="1">
      <alignment horizontal="left" vertical="top" wrapText="1"/>
    </xf>
    <xf numFmtId="167" fontId="29" fillId="11" borderId="0" xfId="0" applyNumberFormat="1" applyFont="1" applyFill="1" applyAlignment="1">
      <alignment horizontal="center"/>
    </xf>
    <xf numFmtId="168" fontId="29" fillId="11" borderId="0" xfId="0" applyNumberFormat="1" applyFont="1" applyFill="1" applyAlignment="1">
      <alignment horizontal="center"/>
    </xf>
    <xf numFmtId="0" fontId="67" fillId="11" borderId="0" xfId="0" applyFont="1" applyFill="1"/>
    <xf numFmtId="0" fontId="69" fillId="11" borderId="0" xfId="0" applyFont="1" applyFill="1" applyAlignment="1">
      <alignment horizontal="center"/>
    </xf>
    <xf numFmtId="0" fontId="39" fillId="14" borderId="0" xfId="0" applyFont="1" applyFill="1" applyAlignment="1">
      <alignment horizontal="center"/>
    </xf>
    <xf numFmtId="168" fontId="39" fillId="14" borderId="0" xfId="0" applyNumberFormat="1" applyFont="1" applyFill="1" applyAlignment="1">
      <alignment horizontal="center"/>
    </xf>
    <xf numFmtId="14" fontId="14" fillId="2" borderId="12" xfId="0" applyNumberFormat="1" applyFont="1" applyFill="1" applyBorder="1" applyAlignment="1">
      <alignment horizontal="left" vertical="center"/>
    </xf>
    <xf numFmtId="14" fontId="14" fillId="7" borderId="12" xfId="0" applyNumberFormat="1" applyFont="1" applyFill="1" applyBorder="1" applyAlignment="1">
      <alignment horizontal="left" vertical="center"/>
    </xf>
    <xf numFmtId="14" fontId="14" fillId="7" borderId="0" xfId="0" applyNumberFormat="1" applyFont="1" applyFill="1" applyAlignment="1">
      <alignment horizontal="left"/>
    </xf>
    <xf numFmtId="164" fontId="14" fillId="7" borderId="10" xfId="0" applyNumberFormat="1" applyFont="1" applyFill="1" applyBorder="1" applyAlignment="1">
      <alignment horizontal="left"/>
    </xf>
    <xf numFmtId="0" fontId="28" fillId="9" borderId="12" xfId="0" applyFont="1" applyFill="1" applyBorder="1" applyAlignment="1">
      <alignment horizontal="center" vertical="top"/>
    </xf>
    <xf numFmtId="0" fontId="28" fillId="2" borderId="12" xfId="0" applyFont="1" applyFill="1" applyBorder="1" applyAlignment="1">
      <alignment horizontal="center" vertical="top"/>
    </xf>
    <xf numFmtId="0" fontId="28" fillId="7" borderId="12" xfId="0" applyFont="1" applyFill="1" applyBorder="1" applyAlignment="1">
      <alignment horizontal="center" vertical="top"/>
    </xf>
    <xf numFmtId="164" fontId="14" fillId="7" borderId="12" xfId="0" applyNumberFormat="1" applyFont="1" applyFill="1" applyBorder="1" applyAlignment="1">
      <alignment horizontal="center" vertical="center"/>
    </xf>
    <xf numFmtId="165" fontId="14" fillId="2" borderId="12" xfId="0" applyNumberFormat="1" applyFont="1" applyFill="1" applyBorder="1" applyAlignment="1">
      <alignment horizontal="center"/>
    </xf>
    <xf numFmtId="165" fontId="14" fillId="7" borderId="12" xfId="0" applyNumberFormat="1" applyFont="1" applyFill="1" applyBorder="1" applyAlignment="1">
      <alignment horizontal="center"/>
    </xf>
    <xf numFmtId="0" fontId="14" fillId="2" borderId="13" xfId="0" applyFont="1" applyFill="1" applyBorder="1" applyAlignment="1">
      <alignment vertical="center"/>
    </xf>
    <xf numFmtId="0" fontId="20" fillId="2" borderId="12" xfId="0" applyFont="1" applyFill="1" applyBorder="1" applyAlignment="1">
      <alignment horizontal="center" vertical="top"/>
    </xf>
    <xf numFmtId="0" fontId="14" fillId="2" borderId="12" xfId="0" applyFont="1" applyFill="1" applyBorder="1" applyAlignment="1">
      <alignment horizontal="center" vertical="center" wrapText="1"/>
    </xf>
    <xf numFmtId="164" fontId="14" fillId="2" borderId="12" xfId="0" applyNumberFormat="1" applyFont="1" applyFill="1" applyBorder="1" applyAlignment="1">
      <alignment horizontal="center" vertical="center"/>
    </xf>
    <xf numFmtId="14" fontId="14" fillId="2" borderId="12" xfId="0" applyNumberFormat="1" applyFont="1" applyFill="1" applyBorder="1" applyAlignment="1">
      <alignment horizontal="center" vertical="center"/>
    </xf>
    <xf numFmtId="0" fontId="14" fillId="2" borderId="15" xfId="0" applyFont="1" applyFill="1" applyBorder="1" applyAlignment="1">
      <alignment vertical="center" wrapText="1"/>
    </xf>
    <xf numFmtId="0" fontId="5" fillId="4" borderId="3" xfId="0" applyFont="1" applyFill="1" applyBorder="1" applyAlignment="1">
      <alignment horizontal="right" vertical="center" wrapText="1"/>
    </xf>
    <xf numFmtId="0" fontId="7" fillId="4" borderId="3" xfId="0" applyFont="1" applyFill="1" applyBorder="1" applyAlignment="1">
      <alignment horizontal="right" vertical="center"/>
    </xf>
    <xf numFmtId="0" fontId="10" fillId="4" borderId="3" xfId="0" applyFont="1" applyFill="1" applyBorder="1" applyAlignment="1">
      <alignment horizontal="right" vertical="center"/>
    </xf>
    <xf numFmtId="0" fontId="0" fillId="14" borderId="22" xfId="0" applyFill="1" applyBorder="1" applyAlignment="1">
      <alignment horizontal="center"/>
    </xf>
    <xf numFmtId="0" fontId="0" fillId="13" borderId="30" xfId="0" applyFill="1" applyBorder="1" applyAlignment="1">
      <alignment horizontal="center"/>
    </xf>
    <xf numFmtId="0" fontId="0" fillId="13" borderId="0" xfId="0" applyFill="1" applyAlignment="1">
      <alignment horizontal="center"/>
    </xf>
    <xf numFmtId="9" fontId="0" fillId="13" borderId="0" xfId="0" applyNumberFormat="1" applyFill="1" applyAlignment="1">
      <alignment horizontal="center"/>
    </xf>
    <xf numFmtId="0" fontId="0" fillId="13" borderId="0" xfId="0" applyFill="1" applyAlignment="1">
      <alignment horizontal="center" vertical="center"/>
    </xf>
    <xf numFmtId="9" fontId="0" fillId="13" borderId="30" xfId="0" applyNumberFormat="1" applyFill="1" applyBorder="1" applyAlignment="1">
      <alignment horizontal="center"/>
    </xf>
    <xf numFmtId="14" fontId="14" fillId="7" borderId="10" xfId="0" applyNumberFormat="1" applyFont="1" applyFill="1" applyBorder="1" applyAlignment="1">
      <alignment horizontal="left" vertical="center"/>
    </xf>
    <xf numFmtId="0" fontId="14" fillId="7" borderId="13" xfId="0" applyFont="1" applyFill="1" applyBorder="1" applyAlignment="1">
      <alignment vertical="center"/>
    </xf>
    <xf numFmtId="0" fontId="20" fillId="8" borderId="12" xfId="0" applyFont="1" applyFill="1" applyBorder="1" applyAlignment="1">
      <alignment horizontal="center" vertical="top" wrapText="1"/>
    </xf>
    <xf numFmtId="14" fontId="14" fillId="7" borderId="10" xfId="0" applyNumberFormat="1" applyFont="1" applyFill="1" applyBorder="1" applyAlignment="1">
      <alignment horizontal="left" vertical="center" wrapText="1"/>
    </xf>
    <xf numFmtId="0" fontId="20" fillId="2" borderId="12" xfId="0" applyFont="1" applyFill="1" applyBorder="1" applyAlignment="1">
      <alignment horizontal="center" vertical="top" wrapText="1"/>
    </xf>
    <xf numFmtId="14" fontId="14" fillId="2" borderId="12" xfId="0" applyNumberFormat="1" applyFont="1" applyFill="1" applyBorder="1" applyAlignment="1">
      <alignment horizontal="center"/>
    </xf>
    <xf numFmtId="0" fontId="4" fillId="3" borderId="0" xfId="0" applyFont="1" applyFill="1" applyAlignment="1">
      <alignment horizontal="center" vertical="center"/>
    </xf>
    <xf numFmtId="0" fontId="4" fillId="3" borderId="2" xfId="0" applyFont="1" applyFill="1" applyBorder="1" applyAlignment="1">
      <alignment horizontal="center" vertical="center"/>
    </xf>
    <xf numFmtId="0" fontId="23" fillId="2" borderId="5" xfId="0" applyFont="1" applyFill="1" applyBorder="1" applyAlignment="1">
      <alignment horizontal="left" vertical="center" wrapText="1"/>
    </xf>
    <xf numFmtId="0" fontId="14" fillId="7" borderId="6" xfId="0" applyFont="1" applyFill="1" applyBorder="1" applyAlignment="1">
      <alignment horizontal="left" vertical="top" wrapText="1"/>
    </xf>
    <xf numFmtId="0" fontId="14" fillId="2" borderId="6" xfId="0" applyFont="1" applyFill="1" applyBorder="1" applyAlignment="1">
      <alignment horizontal="left" vertical="top" wrapText="1"/>
    </xf>
    <xf numFmtId="0" fontId="14" fillId="2" borderId="4" xfId="0" applyFont="1" applyFill="1" applyBorder="1" applyAlignment="1">
      <alignment horizontal="left" vertical="top" wrapText="1"/>
    </xf>
    <xf numFmtId="0" fontId="0" fillId="11" borderId="0" xfId="0" applyFill="1" applyAlignment="1">
      <alignment horizontal="center"/>
    </xf>
    <xf numFmtId="0" fontId="31" fillId="11" borderId="0" xfId="0" applyFont="1" applyFill="1" applyAlignment="1">
      <alignment horizontal="center" vertical="center"/>
    </xf>
    <xf numFmtId="0" fontId="33" fillId="11" borderId="0" xfId="0" applyFont="1" applyFill="1" applyAlignment="1">
      <alignment horizontal="center" vertical="center"/>
    </xf>
    <xf numFmtId="0" fontId="34" fillId="13" borderId="23" xfId="0" applyFont="1" applyFill="1" applyBorder="1" applyAlignment="1">
      <alignment horizontal="center"/>
    </xf>
    <xf numFmtId="0" fontId="0" fillId="13" borderId="18" xfId="0" applyFill="1" applyBorder="1" applyAlignment="1">
      <alignment horizontal="center"/>
    </xf>
    <xf numFmtId="0" fontId="0" fillId="13" borderId="19" xfId="0" applyFill="1" applyBorder="1" applyAlignment="1">
      <alignment horizontal="center"/>
    </xf>
    <xf numFmtId="0" fontId="34" fillId="13" borderId="25" xfId="0" applyFont="1" applyFill="1" applyBorder="1" applyAlignment="1">
      <alignment horizontal="center"/>
    </xf>
    <xf numFmtId="9" fontId="0" fillId="13" borderId="18" xfId="0" applyNumberFormat="1" applyFill="1" applyBorder="1" applyAlignment="1">
      <alignment horizontal="center"/>
    </xf>
    <xf numFmtId="166" fontId="35" fillId="13" borderId="18" xfId="0" applyNumberFormat="1" applyFont="1" applyFill="1" applyBorder="1" applyAlignment="1">
      <alignment horizontal="center"/>
    </xf>
    <xf numFmtId="0" fontId="36" fillId="11" borderId="0" xfId="0" applyFont="1" applyFill="1" applyAlignment="1">
      <alignment horizontal="center" vertical="center"/>
    </xf>
    <xf numFmtId="0" fontId="0" fillId="0" borderId="0" xfId="0" applyAlignment="1">
      <alignment horizontal="center" vertical="center"/>
    </xf>
    <xf numFmtId="0" fontId="0" fillId="11" borderId="0" xfId="0" applyFill="1" applyAlignment="1">
      <alignment horizontal="center" vertical="center"/>
    </xf>
    <xf numFmtId="0" fontId="64" fillId="13" borderId="19" xfId="0" applyFont="1" applyFill="1" applyBorder="1" applyAlignment="1">
      <alignment horizontal="center"/>
    </xf>
    <xf numFmtId="0" fontId="34" fillId="13" borderId="27" xfId="0" applyFont="1" applyFill="1" applyBorder="1" applyAlignment="1">
      <alignment horizontal="center"/>
    </xf>
    <xf numFmtId="0" fontId="37" fillId="14" borderId="0" xfId="0" applyFont="1" applyFill="1" applyAlignment="1">
      <alignment horizontal="center"/>
    </xf>
    <xf numFmtId="0" fontId="13" fillId="6" borderId="7" xfId="0" applyFont="1" applyFill="1" applyBorder="1" applyAlignment="1"/>
    <xf numFmtId="0" fontId="0" fillId="0" borderId="24" xfId="0" applyBorder="1" applyAlignment="1"/>
    <xf numFmtId="0" fontId="0" fillId="13" borderId="26" xfId="0" applyFill="1" applyBorder="1" applyAlignment="1"/>
    <xf numFmtId="0" fontId="0" fillId="0" borderId="28" xfId="0" applyBorder="1" applyAlignment="1"/>
    <xf numFmtId="0" fontId="0" fillId="0" borderId="20" xfId="0" applyBorder="1" applyAlignment="1"/>
    <xf numFmtId="0" fontId="0" fillId="13" borderId="20" xfId="0" applyFill="1" applyBorder="1" applyAlignment="1"/>
    <xf numFmtId="0" fontId="64" fillId="0" borderId="21" xfId="0" applyFont="1" applyBorder="1" applyAlignment="1"/>
    <xf numFmtId="0" fontId="64" fillId="13" borderId="21" xfId="0" applyFont="1" applyFill="1" applyBorder="1" applyAlignment="1"/>
    <xf numFmtId="0" fontId="65" fillId="0" borderId="21" xfId="0" applyFont="1" applyBorder="1" applyAlignment="1"/>
    <xf numFmtId="0" fontId="0" fillId="0" borderId="0" xfId="0" applyAlignment="1"/>
  </cellXfs>
  <cellStyles count="2">
    <cellStyle name="Hyperlink" xfId="1" builtinId="8"/>
    <cellStyle name="Standaard" xfId="0" builtinId="0"/>
  </cellStyles>
  <dxfs count="40">
    <dxf>
      <font>
        <color rgb="FF27AE60"/>
      </font>
      <fill>
        <patternFill patternType="solid">
          <fgColor indexed="64"/>
          <bgColor rgb="FFEAFAF1"/>
        </patternFill>
      </fill>
    </dxf>
    <dxf>
      <font>
        <color rgb="FFE67E22"/>
      </font>
      <fill>
        <patternFill patternType="solid">
          <fgColor indexed="64"/>
          <bgColor rgb="FFFEF5E7"/>
        </patternFill>
      </fill>
    </dxf>
    <dxf>
      <font>
        <color rgb="FFC0392B"/>
      </font>
      <fill>
        <patternFill patternType="solid">
          <fgColor indexed="64"/>
          <bgColor rgb="FFFDEDEC"/>
        </patternFill>
      </fill>
    </dxf>
    <dxf>
      <font>
        <color rgb="FFC0392B"/>
      </font>
      <fill>
        <patternFill patternType="solid">
          <fgColor indexed="64"/>
          <bgColor rgb="FFFDEDEC"/>
        </patternFill>
      </fill>
    </dxf>
    <dxf>
      <font>
        <color rgb="FF27AE60"/>
      </font>
      <fill>
        <patternFill patternType="solid">
          <fgColor indexed="64"/>
          <bgColor rgb="FFEAFAF1"/>
        </patternFill>
      </fill>
    </dxf>
    <dxf>
      <font>
        <color rgb="FF8E44AD"/>
      </font>
      <fill>
        <patternFill patternType="solid">
          <fgColor indexed="64"/>
          <bgColor rgb="FFF4ECF7"/>
        </patternFill>
      </fill>
    </dxf>
    <dxf>
      <font>
        <color rgb="FFE67E22"/>
      </font>
      <fill>
        <patternFill patternType="solid">
          <fgColor indexed="64"/>
          <bgColor rgb="FFFEF5E7"/>
        </patternFill>
      </fill>
    </dxf>
    <dxf>
      <font>
        <color rgb="FF1565C0"/>
      </font>
      <fill>
        <patternFill patternType="solid">
          <fgColor indexed="64"/>
          <bgColor rgb="FFEBF5FB"/>
        </patternFill>
      </fill>
    </dxf>
    <dxf>
      <font>
        <b val="0"/>
        <i val="0"/>
        <strike val="0"/>
        <condense val="0"/>
        <extend val="0"/>
        <outline val="0"/>
        <shadow val="0"/>
        <u val="none"/>
        <vertAlign val="baseline"/>
        <sz val="10"/>
        <color rgb="FF2C3E50"/>
        <name val="Aptos"/>
        <scheme val="none"/>
      </font>
      <fill>
        <patternFill patternType="solid">
          <fgColor indexed="64"/>
          <bgColor rgb="FFF8F9FA"/>
        </patternFill>
      </fill>
      <alignment horizontal="general" vertical="center" textRotation="0" wrapText="0" indent="0" justifyLastLine="0" shrinkToFit="0" readingOrder="0"/>
      <border diagonalUp="0" diagonalDown="0">
        <left style="dashed">
          <color rgb="FF000000"/>
        </left>
        <right style="thin">
          <color theme="4" tint="0.39997558519241921"/>
        </right>
        <top style="thin">
          <color theme="4" tint="0.39997558519241921"/>
        </top>
        <bottom style="thin">
          <color theme="4" tint="0.39997558519241921"/>
        </bottom>
        <vertical/>
        <horizontal/>
      </border>
    </dxf>
    <dxf>
      <font>
        <b val="0"/>
        <i val="0"/>
        <strike val="0"/>
        <condense val="0"/>
        <extend val="0"/>
        <outline val="0"/>
        <shadow val="0"/>
        <u val="none"/>
        <vertAlign val="baseline"/>
        <sz val="10"/>
        <color rgb="FF2C3E50"/>
        <name val="Aptos"/>
        <scheme val="none"/>
      </font>
      <fill>
        <patternFill patternType="solid">
          <fgColor indexed="64"/>
          <bgColor rgb="FFFFFFFF"/>
        </patternFill>
      </fill>
      <alignment horizontal="left" vertical="center" textRotation="0" wrapText="0" indent="0" justifyLastLine="0" shrinkToFit="0" readingOrder="0"/>
    </dxf>
    <dxf>
      <font>
        <b val="0"/>
        <i val="0"/>
        <strike val="0"/>
        <condense val="0"/>
        <extend val="0"/>
        <outline val="0"/>
        <shadow val="0"/>
        <u val="none"/>
        <vertAlign val="baseline"/>
        <sz val="10"/>
        <color rgb="FF2C3E50"/>
        <name val="Aptos"/>
        <scheme val="none"/>
      </font>
      <fill>
        <patternFill patternType="solid">
          <fgColor indexed="64"/>
          <bgColor rgb="FFF8F9FA"/>
        </patternFill>
      </fill>
      <alignment horizontal="left" vertical="center" textRotation="0" wrapText="0" indent="0" justifyLastLine="0" shrinkToFit="0" readingOrder="0"/>
    </dxf>
    <dxf>
      <font>
        <b val="0"/>
        <i val="0"/>
        <strike val="0"/>
        <condense val="0"/>
        <extend val="0"/>
        <outline val="0"/>
        <shadow val="0"/>
        <u val="none"/>
        <vertAlign val="baseline"/>
        <sz val="10"/>
        <color rgb="FF2C3E50"/>
        <name val="Aptos"/>
        <scheme val="none"/>
      </font>
      <numFmt numFmtId="19" formatCode="d/m/yyyy"/>
      <fill>
        <patternFill patternType="solid">
          <fgColor indexed="64"/>
          <bgColor rgb="FFF8F9FA"/>
        </patternFill>
      </fill>
      <alignment horizontal="center" vertical="bottom" textRotation="0" wrapText="0" indent="0" justifyLastLine="0" shrinkToFit="0" readingOrder="0"/>
    </dxf>
    <dxf>
      <font>
        <b val="0"/>
        <i val="0"/>
        <strike val="0"/>
        <condense val="0"/>
        <extend val="0"/>
        <outline val="0"/>
        <shadow val="0"/>
        <u val="none"/>
        <vertAlign val="baseline"/>
        <sz val="10"/>
        <color rgb="FF2C3E50"/>
        <name val="Aptos"/>
        <scheme val="none"/>
      </font>
      <fill>
        <patternFill patternType="solid">
          <fgColor indexed="64"/>
          <bgColor rgb="FFF8F9FA"/>
        </patternFill>
      </fill>
      <alignment horizontal="center" vertical="bottom" textRotation="0" wrapText="0" indent="0" justifyLastLine="0" shrinkToFit="0" readingOrder="0"/>
    </dxf>
    <dxf>
      <font>
        <b val="0"/>
        <i val="0"/>
        <strike val="0"/>
        <condense val="0"/>
        <extend val="0"/>
        <outline val="0"/>
        <shadow val="0"/>
        <u val="none"/>
        <vertAlign val="baseline"/>
        <sz val="10"/>
        <color rgb="FF2C3E50"/>
        <name val="Aptos"/>
        <scheme val="none"/>
      </font>
      <fill>
        <patternFill patternType="solid">
          <fgColor indexed="64"/>
          <bgColor rgb="FFF8F9FA"/>
        </patternFill>
      </fill>
      <alignment horizontal="center" vertical="center" textRotation="0" wrapText="0" indent="0" justifyLastLine="0" shrinkToFit="0" readingOrder="0"/>
    </dxf>
    <dxf>
      <font>
        <b val="0"/>
        <i val="0"/>
        <strike val="0"/>
        <condense val="0"/>
        <extend val="0"/>
        <outline val="0"/>
        <shadow val="0"/>
        <u val="none"/>
        <vertAlign val="baseline"/>
        <sz val="10"/>
        <color rgb="FF2C3E50"/>
        <name val="Aptos"/>
        <scheme val="none"/>
      </font>
      <numFmt numFmtId="164" formatCode="dd/mm/yyyy"/>
      <fill>
        <patternFill patternType="solid">
          <fgColor indexed="64"/>
          <bgColor rgb="FFF8F9FA"/>
        </patternFill>
      </fill>
      <alignment horizontal="center" vertical="bottom" textRotation="0" wrapText="0" indent="0" justifyLastLine="0" shrinkToFit="0" readingOrder="0"/>
    </dxf>
    <dxf>
      <font>
        <b val="0"/>
        <i val="0"/>
        <strike val="0"/>
        <condense val="0"/>
        <extend val="0"/>
        <outline val="0"/>
        <shadow val="0"/>
        <u val="none"/>
        <vertAlign val="baseline"/>
        <sz val="10"/>
        <color rgb="FF2C3E50"/>
        <name val="Aptos"/>
        <scheme val="none"/>
      </font>
      <fill>
        <patternFill patternType="solid">
          <fgColor indexed="64"/>
          <bgColor rgb="FFF8F9FA"/>
        </patternFill>
      </fill>
      <alignment horizontal="center" vertical="bottom" textRotation="0" wrapText="0" indent="0" justifyLastLine="0" shrinkToFit="0" readingOrder="0"/>
    </dxf>
    <dxf>
      <font>
        <b val="0"/>
        <i val="0"/>
        <strike val="0"/>
        <condense val="0"/>
        <extend val="0"/>
        <outline val="0"/>
        <shadow val="0"/>
        <u val="none"/>
        <vertAlign val="baseline"/>
        <sz val="10"/>
        <color rgb="FF2C3E50"/>
        <name val="Aptos"/>
        <scheme val="none"/>
      </font>
      <fill>
        <patternFill patternType="solid">
          <fgColor indexed="64"/>
          <bgColor rgb="FFF8F9FA"/>
        </patternFill>
      </fill>
      <alignment horizontal="center" vertical="bottom" textRotation="0" wrapText="0" indent="0" justifyLastLine="0" shrinkToFit="0" readingOrder="0"/>
    </dxf>
    <dxf>
      <font>
        <b val="0"/>
        <i val="0"/>
        <strike val="0"/>
        <condense val="0"/>
        <extend val="0"/>
        <outline val="0"/>
        <shadow val="0"/>
        <u val="none"/>
        <vertAlign val="baseline"/>
        <sz val="10"/>
        <color theme="3"/>
        <name val="Aptos"/>
        <scheme val="none"/>
      </font>
      <fill>
        <patternFill patternType="solid">
          <fgColor indexed="64"/>
          <bgColor theme="8" tint="0.79998168889431442"/>
        </patternFill>
      </fill>
      <alignment horizontal="center" vertical="top" textRotation="0" wrapText="0" indent="0" justifyLastLine="0" shrinkToFit="0" readingOrder="0"/>
    </dxf>
    <dxf>
      <font>
        <b val="0"/>
        <i val="0"/>
        <strike val="0"/>
        <condense val="0"/>
        <extend val="0"/>
        <outline val="0"/>
        <shadow val="0"/>
        <u val="none"/>
        <vertAlign val="baseline"/>
        <sz val="10"/>
        <color theme="3"/>
        <name val="Aptos"/>
        <scheme val="none"/>
      </font>
      <fill>
        <patternFill patternType="solid">
          <fgColor indexed="64"/>
          <bgColor rgb="FFF8F9FA"/>
        </patternFill>
      </fill>
      <alignment horizontal="center" vertical="top" textRotation="0" wrapText="0" indent="0" justifyLastLine="0" shrinkToFit="0" readingOrder="0"/>
    </dxf>
    <dxf>
      <font>
        <b val="0"/>
        <i val="0"/>
        <strike val="0"/>
        <condense val="0"/>
        <extend val="0"/>
        <outline val="0"/>
        <shadow val="0"/>
        <u val="none"/>
        <vertAlign val="baseline"/>
        <sz val="10"/>
        <color theme="3"/>
        <name val="Aptos"/>
        <scheme val="none"/>
      </font>
      <fill>
        <patternFill patternType="solid">
          <fgColor indexed="64"/>
          <bgColor theme="8" tint="0.79998168889431442"/>
        </patternFill>
      </fill>
      <alignment horizontal="center" vertical="top" textRotation="0" wrapText="0" indent="0" justifyLastLine="0" shrinkToFit="0" readingOrder="0"/>
    </dxf>
    <dxf>
      <font>
        <b val="0"/>
        <i val="0"/>
        <strike val="0"/>
        <condense val="0"/>
        <extend val="0"/>
        <outline val="0"/>
        <shadow val="0"/>
        <u val="none"/>
        <vertAlign val="baseline"/>
        <sz val="10"/>
        <color theme="3"/>
        <name val="Aptos"/>
        <scheme val="none"/>
      </font>
      <fill>
        <patternFill patternType="solid">
          <fgColor indexed="64"/>
          <bgColor rgb="FFF8F9FA"/>
        </patternFill>
      </fill>
      <alignment horizontal="center" vertical="top" textRotation="0" wrapText="0" indent="0" justifyLastLine="0" shrinkToFit="0" readingOrder="0"/>
    </dxf>
    <dxf>
      <font>
        <b val="0"/>
        <i val="0"/>
        <strike val="0"/>
        <condense val="0"/>
        <extend val="0"/>
        <outline val="0"/>
        <shadow val="0"/>
        <u val="none"/>
        <vertAlign val="baseline"/>
        <sz val="10"/>
        <color theme="3"/>
        <name val="Aptos"/>
        <scheme val="none"/>
      </font>
      <fill>
        <patternFill patternType="solid">
          <fgColor indexed="64"/>
          <bgColor theme="8" tint="0.79998168889431442"/>
        </patternFill>
      </fill>
      <alignment horizontal="center" vertical="top" textRotation="0" wrapText="0" indent="0" justifyLastLine="0" shrinkToFit="0" readingOrder="0"/>
    </dxf>
    <dxf>
      <font>
        <b val="0"/>
        <i val="0"/>
        <strike val="0"/>
        <condense val="0"/>
        <extend val="0"/>
        <outline val="0"/>
        <shadow val="0"/>
        <u val="none"/>
        <vertAlign val="baseline"/>
        <sz val="10"/>
        <color theme="3"/>
        <name val="Aptos"/>
        <scheme val="none"/>
      </font>
      <fill>
        <patternFill patternType="solid">
          <fgColor indexed="64"/>
          <bgColor rgb="FFF8F9FA"/>
        </patternFill>
      </fill>
      <alignment horizontal="center" vertical="top" textRotation="0" wrapText="0" indent="0" justifyLastLine="0" shrinkToFit="0" readingOrder="0"/>
    </dxf>
    <dxf>
      <font>
        <b val="0"/>
        <i val="0"/>
        <strike val="0"/>
        <condense val="0"/>
        <extend val="0"/>
        <outline val="0"/>
        <shadow val="0"/>
        <u val="none"/>
        <vertAlign val="baseline"/>
        <sz val="10"/>
        <color theme="3"/>
        <name val="Aptos"/>
        <scheme val="none"/>
      </font>
      <fill>
        <patternFill patternType="solid">
          <fgColor indexed="64"/>
          <bgColor theme="8" tint="0.79998168889431442"/>
        </patternFill>
      </fill>
      <alignment horizontal="center" vertical="top" textRotation="0" wrapText="0" indent="0" justifyLastLine="0" shrinkToFit="0" readingOrder="0"/>
    </dxf>
    <dxf>
      <font>
        <b val="0"/>
        <i val="0"/>
        <strike val="0"/>
        <condense val="0"/>
        <extend val="0"/>
        <outline val="0"/>
        <shadow val="0"/>
        <u val="none"/>
        <vertAlign val="baseline"/>
        <sz val="10"/>
        <color rgb="FF2C3E50"/>
        <name val="Aptos"/>
        <scheme val="none"/>
      </font>
      <fill>
        <patternFill patternType="solid">
          <fgColor indexed="64"/>
          <bgColor rgb="FFF8F9FA"/>
        </patternFill>
      </fill>
      <alignment horizontal="center" vertical="center" textRotation="0" wrapText="1" indent="0" justifyLastLine="0" shrinkToFit="0" readingOrder="0"/>
    </dxf>
    <dxf>
      <fill>
        <patternFill patternType="solid">
          <fgColor rgb="FFEBF5FB"/>
          <bgColor indexed="65"/>
        </patternFill>
      </fill>
    </dxf>
    <dxf>
      <fill>
        <patternFill patternType="solid">
          <fgColor rgb="FFFEF5E7"/>
          <bgColor indexed="65"/>
        </patternFill>
      </fill>
    </dxf>
    <dxf>
      <fill>
        <patternFill patternType="solid">
          <fgColor rgb="FFFDEDEC"/>
          <bgColor indexed="65"/>
        </patternFill>
      </fill>
    </dxf>
    <dxf>
      <fill>
        <patternFill patternType="solid">
          <fgColor rgb="FFEAFAF1"/>
          <bgColor indexed="65"/>
        </patternFill>
      </fill>
    </dxf>
    <dxf>
      <fill>
        <patternFill patternType="solid">
          <fgColor rgb="FFFDEDEC"/>
          <bgColor indexed="65"/>
        </patternFill>
      </fill>
    </dxf>
    <dxf>
      <border outline="0">
        <top style="thin">
          <color rgb="FFE8E8E8"/>
        </top>
        <bottom style="thin">
          <color rgb="FFEAECEE"/>
        </bottom>
      </border>
    </dxf>
    <dxf>
      <font>
        <b/>
        <i val="0"/>
        <strike val="0"/>
        <condense val="0"/>
        <extend val="0"/>
        <outline val="0"/>
        <shadow val="0"/>
        <u val="none"/>
        <vertAlign val="baseline"/>
        <sz val="9"/>
        <color rgb="FF2C3E50"/>
        <name val="Aptos"/>
        <scheme val="none"/>
      </font>
      <fill>
        <patternFill patternType="solid">
          <fgColor indexed="64"/>
          <bgColor rgb="FFF4F6F7"/>
        </patternFill>
      </fill>
      <alignment horizontal="center" vertical="center" textRotation="0" wrapText="1" indent="0" justifyLastLine="0" shrinkToFit="0" readingOrder="0"/>
    </dxf>
    <dxf>
      <font>
        <color rgb="FF27AE60"/>
      </font>
      <fill>
        <patternFill patternType="solid">
          <fgColor indexed="64"/>
          <bgColor rgb="FFEAFAF1"/>
        </patternFill>
      </fill>
    </dxf>
    <dxf>
      <font>
        <color rgb="FFE67E22"/>
      </font>
      <fill>
        <patternFill patternType="solid">
          <fgColor indexed="64"/>
          <bgColor rgb="FFFEF5E7"/>
        </patternFill>
      </fill>
    </dxf>
    <dxf>
      <font>
        <color rgb="FFC0392B"/>
      </font>
      <fill>
        <patternFill patternType="solid">
          <fgColor indexed="64"/>
          <bgColor rgb="FFFDEDEC"/>
        </patternFill>
      </fill>
    </dxf>
    <dxf>
      <font>
        <color rgb="FFC0392B"/>
      </font>
      <fill>
        <patternFill patternType="solid">
          <fgColor indexed="64"/>
          <bgColor rgb="FFFDEDEC"/>
        </patternFill>
      </fill>
    </dxf>
    <dxf>
      <font>
        <color rgb="FF27AE60"/>
      </font>
      <fill>
        <patternFill patternType="solid">
          <fgColor indexed="64"/>
          <bgColor rgb="FFEAFAF1"/>
        </patternFill>
      </fill>
    </dxf>
    <dxf>
      <font>
        <color rgb="FF8E44AD"/>
      </font>
      <fill>
        <patternFill patternType="solid">
          <fgColor indexed="64"/>
          <bgColor rgb="FFF4ECF7"/>
        </patternFill>
      </fill>
    </dxf>
    <dxf>
      <font>
        <color rgb="FFE67E22"/>
      </font>
      <fill>
        <patternFill patternType="solid">
          <fgColor indexed="64"/>
          <bgColor rgb="FFFEF5E7"/>
        </patternFill>
      </fill>
    </dxf>
    <dxf>
      <font>
        <color rgb="FF1565C0"/>
      </font>
      <fill>
        <patternFill patternType="solid">
          <fgColor indexed="64"/>
          <bgColor rgb="FFEBF5FB"/>
        </patternFill>
      </fill>
    </dxf>
  </dxfs>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CCCCC"/>
      <rgbColor rgb="FF808080"/>
      <rgbColor rgb="FF9999FF"/>
      <rgbColor rgb="FF993366"/>
      <rgbColor rgb="FFFFFFCC"/>
      <rgbColor rgb="FFEBF3FB"/>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DEEAF1"/>
      <rgbColor rgb="FFCCFFCC"/>
      <rgbColor rgb="FFFFFF99"/>
      <rgbColor rgb="FF99CCFF"/>
      <rgbColor rgb="FFFF99CC"/>
      <rgbColor rgb="FFCC99FF"/>
      <rgbColor rgb="FFFFCC99"/>
      <rgbColor rgb="FF2E75B6"/>
      <rgbColor rgb="FF33CCCC"/>
      <rgbColor rgb="FF99CC00"/>
      <rgbColor rgb="FFFFCC00"/>
      <rgbColor rgb="FFFF9900"/>
      <rgbColor rgb="FFFF6600"/>
      <rgbColor rgb="FF595959"/>
      <rgbColor rgb="FF969696"/>
      <rgbColor rgb="FF1F3864"/>
      <rgbColor rgb="FF339966"/>
      <rgbColor rgb="FF003300"/>
      <rgbColor rgb="FF333300"/>
      <rgbColor rgb="FF993300"/>
      <rgbColor rgb="FF993366"/>
      <rgbColor rgb="FF333399"/>
      <rgbColor rgb="FF333333"/>
      <rgbColor rgb="00003366"/>
      <rgbColor rgb="00339966"/>
      <rgbColor rgb="00003300"/>
      <rgbColor rgb="00333300"/>
      <rgbColor rgb="00993300"/>
      <rgbColor rgb="00993366"/>
      <rgbColor rgb="00333399"/>
      <rgbColor rgb="00333333"/>
    </indexedColors>
    <mruColors>
      <color rgb="FF2ECC71"/>
      <color rgb="FFF938F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eetMetadata" Target="metadata.xml"/><Relationship Id="rId3" Type="http://schemas.openxmlformats.org/officeDocument/2006/relationships/worksheet" Target="worksheets/sheet3.xml"/><Relationship Id="rId7" Type="http://schemas.openxmlformats.org/officeDocument/2006/relationships/sharedStrings" Target="sharedStrings.xml"/><Relationship Id="rId12" Type="http://schemas.openxmlformats.org/officeDocument/2006/relationships/customXml" Target="../customXml/item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11" Type="http://schemas.openxmlformats.org/officeDocument/2006/relationships/customXml" Target="../customXml/item2.xml"/><Relationship Id="rId5" Type="http://schemas.openxmlformats.org/officeDocument/2006/relationships/theme" Target="theme/theme1.xml"/><Relationship Id="rId10" Type="http://schemas.openxmlformats.org/officeDocument/2006/relationships/customXml" Target="../customXml/item1.xml"/><Relationship Id="rId4" Type="http://schemas.openxmlformats.org/officeDocument/2006/relationships/worksheet" Target="worksheets/sheet4.xml"/><Relationship Id="rId9"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nl-NL"/>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doughnutChart>
        <c:varyColors val="1"/>
        <c:ser>
          <c:idx val="0"/>
          <c:order val="0"/>
          <c:dPt>
            <c:idx val="0"/>
            <c:bubble3D val="0"/>
            <c:spPr>
              <a:solidFill>
                <a:srgbClr val="2ECC71"/>
              </a:solidFill>
              <a:ln w="19050">
                <a:solidFill>
                  <a:schemeClr val="lt1"/>
                </a:solidFill>
              </a:ln>
              <a:effectLst/>
            </c:spPr>
            <c:extLst>
              <c:ext xmlns:c16="http://schemas.microsoft.com/office/drawing/2014/chart" uri="{C3380CC4-5D6E-409C-BE32-E72D297353CC}">
                <c16:uniqueId val="{00000003-EA11-4C32-A653-8EDB945EA233}"/>
              </c:ext>
            </c:extLst>
          </c:dPt>
          <c:dPt>
            <c:idx val="1"/>
            <c:bubble3D val="0"/>
            <c:spPr>
              <a:solidFill>
                <a:srgbClr val="4A90D9"/>
              </a:solidFill>
              <a:ln w="19050">
                <a:solidFill>
                  <a:schemeClr val="lt1"/>
                </a:solidFill>
              </a:ln>
              <a:effectLst/>
            </c:spPr>
            <c:extLst>
              <c:ext xmlns:c16="http://schemas.microsoft.com/office/drawing/2014/chart" uri="{C3380CC4-5D6E-409C-BE32-E72D297353CC}">
                <c16:uniqueId val="{00000004-EA11-4C32-A653-8EDB945EA233}"/>
              </c:ext>
            </c:extLst>
          </c:dPt>
          <c:dPt>
            <c:idx val="2"/>
            <c:bubble3D val="0"/>
            <c:spPr>
              <a:solidFill>
                <a:srgbClr val="F39C12"/>
              </a:solidFill>
              <a:ln w="19050">
                <a:solidFill>
                  <a:schemeClr val="lt1"/>
                </a:solidFill>
              </a:ln>
              <a:effectLst/>
            </c:spPr>
            <c:extLst>
              <c:ext xmlns:c16="http://schemas.microsoft.com/office/drawing/2014/chart" uri="{C3380CC4-5D6E-409C-BE32-E72D297353CC}">
                <c16:uniqueId val="{00000005-EA11-4C32-A653-8EDB945EA233}"/>
              </c:ext>
            </c:extLst>
          </c:dPt>
          <c:dPt>
            <c:idx val="3"/>
            <c:bubble3D val="0"/>
            <c:spPr>
              <a:solidFill>
                <a:srgbClr val="E74C3C"/>
              </a:solidFill>
              <a:ln w="19050">
                <a:solidFill>
                  <a:schemeClr val="lt1"/>
                </a:solidFill>
              </a:ln>
              <a:effectLst/>
            </c:spPr>
            <c:extLst>
              <c:ext xmlns:c16="http://schemas.microsoft.com/office/drawing/2014/chart" uri="{C3380CC4-5D6E-409C-BE32-E72D297353CC}">
                <c16:uniqueId val="{00000006-EA11-4C32-A653-8EDB945EA233}"/>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7-EA11-4C32-A653-8EDB945EA233}"/>
              </c:ext>
            </c:extLst>
          </c:dPt>
          <c:dPt>
            <c:idx val="5"/>
            <c:bubble3D val="0"/>
            <c:spPr>
              <a:solidFill>
                <a:srgbClr val="555577"/>
              </a:solidFill>
              <a:ln w="19050">
                <a:solidFill>
                  <a:schemeClr val="lt1"/>
                </a:solidFill>
              </a:ln>
              <a:effectLst/>
            </c:spPr>
            <c:extLst>
              <c:ext xmlns:c16="http://schemas.microsoft.com/office/drawing/2014/chart" uri="{C3380CC4-5D6E-409C-BE32-E72D297353CC}">
                <c16:uniqueId val="{0000000B-648D-4AF0-935B-9FF2A7E36A0A}"/>
              </c:ext>
            </c:extLst>
          </c:dPt>
          <c:dLbls>
            <c:dLbl>
              <c:idx val="0"/>
              <c:tx>
                <c:rich>
                  <a:bodyPr/>
                  <a:lstStyle/>
                  <a:p>
                    <a:r>
                      <a:rPr lang="en-US"/>
                      <a:t>Approved</a:t>
                    </a:r>
                  </a:p>
                </c:rich>
              </c:tx>
              <c:showLegendKey val="0"/>
              <c:showVal val="0"/>
              <c:showCatName val="1"/>
              <c:showSerName val="0"/>
              <c:showPercent val="1"/>
              <c:showBubbleSize val="0"/>
              <c:separator>
</c:separator>
              <c:extLst>
                <c:ext xmlns:c15="http://schemas.microsoft.com/office/drawing/2012/chart" uri="{CE6537A1-D6FC-4f65-9D91-7224C49458BB}">
                  <c15:showDataLabelsRange val="0"/>
                </c:ext>
                <c:ext xmlns:c16="http://schemas.microsoft.com/office/drawing/2014/chart" uri="{C3380CC4-5D6E-409C-BE32-E72D297353CC}">
                  <c16:uniqueId val="{00000003-EA11-4C32-A653-8EDB945EA233}"/>
                </c:ext>
              </c:extLst>
            </c:dLbl>
            <c:dLbl>
              <c:idx val="1"/>
              <c:tx>
                <c:rich>
                  <a:bodyPr/>
                  <a:lstStyle/>
                  <a:p>
                    <a:r>
                      <a:rPr lang="en-US"/>
                      <a:t>In process</a:t>
                    </a:r>
                  </a:p>
                </c:rich>
              </c:tx>
              <c:showLegendKey val="0"/>
              <c:showVal val="0"/>
              <c:showCatName val="1"/>
              <c:showSerName val="0"/>
              <c:showPercent val="1"/>
              <c:showBubbleSize val="0"/>
              <c:separator>
</c:separator>
              <c:extLst>
                <c:ext xmlns:c15="http://schemas.microsoft.com/office/drawing/2012/chart" uri="{CE6537A1-D6FC-4f65-9D91-7224C49458BB}">
                  <c15:showDataLabelsRange val="0"/>
                </c:ext>
                <c:ext xmlns:c16="http://schemas.microsoft.com/office/drawing/2014/chart" uri="{C3380CC4-5D6E-409C-BE32-E72D297353CC}">
                  <c16:uniqueId val="{00000004-EA11-4C32-A653-8EDB945EA233}"/>
                </c:ext>
              </c:extLst>
            </c:dLbl>
            <c:dLbl>
              <c:idx val="2"/>
              <c:tx>
                <c:rich>
                  <a:bodyPr/>
                  <a:lstStyle/>
                  <a:p>
                    <a:r>
                      <a:rPr lang="en-US"/>
                      <a:t>QC</a:t>
                    </a:r>
                  </a:p>
                </c:rich>
              </c:tx>
              <c:showLegendKey val="0"/>
              <c:showVal val="0"/>
              <c:showCatName val="1"/>
              <c:showSerName val="0"/>
              <c:showPercent val="1"/>
              <c:showBubbleSize val="0"/>
              <c:separator>
</c:separator>
              <c:extLst>
                <c:ext xmlns:c15="http://schemas.microsoft.com/office/drawing/2012/chart" uri="{CE6537A1-D6FC-4f65-9D91-7224C49458BB}">
                  <c15:showDataLabelsRange val="0"/>
                </c:ext>
                <c:ext xmlns:c16="http://schemas.microsoft.com/office/drawing/2014/chart" uri="{C3380CC4-5D6E-409C-BE32-E72D297353CC}">
                  <c16:uniqueId val="{00000005-EA11-4C32-A653-8EDB945EA233}"/>
                </c:ext>
              </c:extLst>
            </c:dLbl>
            <c:dLbl>
              <c:idx val="3"/>
              <c:tx>
                <c:rich>
                  <a:bodyPr/>
                  <a:lstStyle/>
                  <a:p>
                    <a:r>
                      <a:rPr lang="en-US"/>
                      <a:t>Denied</a:t>
                    </a:r>
                  </a:p>
                </c:rich>
              </c:tx>
              <c:showLegendKey val="0"/>
              <c:showVal val="0"/>
              <c:showCatName val="1"/>
              <c:showSerName val="0"/>
              <c:showPercent val="1"/>
              <c:showBubbleSize val="0"/>
              <c:separator>
</c:separator>
              <c:extLst>
                <c:ext xmlns:c15="http://schemas.microsoft.com/office/drawing/2012/chart" uri="{CE6537A1-D6FC-4f65-9D91-7224C49458BB}">
                  <c15:showDataLabelsRange val="0"/>
                </c:ext>
                <c:ext xmlns:c16="http://schemas.microsoft.com/office/drawing/2014/chart" uri="{C3380CC4-5D6E-409C-BE32-E72D297353CC}">
                  <c16:uniqueId val="{00000006-EA11-4C32-A653-8EDB945EA233}"/>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FFFFFF"/>
                    </a:solidFill>
                    <a:latin typeface="+mn-lt"/>
                    <a:ea typeface="+mn-ea"/>
                    <a:cs typeface="+mn-cs"/>
                  </a:defRPr>
                </a:pPr>
                <a:endParaRPr lang="en-US"/>
              </a:p>
            </c:txPr>
            <c:showLegendKey val="0"/>
            <c:showVal val="0"/>
            <c:showCatName val="1"/>
            <c:showSerName val="0"/>
            <c:showPercent val="1"/>
            <c:showBubbleSize val="0"/>
            <c:separator>
</c:separator>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Dashboard!$R$27:$R$32</c:f>
              <c:strCache>
                <c:ptCount val="6"/>
                <c:pt idx="0">
                  <c:v>Approved</c:v>
                </c:pt>
                <c:pt idx="1">
                  <c:v>In process</c:v>
                </c:pt>
                <c:pt idx="2">
                  <c:v>QC</c:v>
                </c:pt>
                <c:pt idx="3">
                  <c:v>Denied</c:v>
                </c:pt>
                <c:pt idx="5">
                  <c:v>New</c:v>
                </c:pt>
              </c:strCache>
            </c:strRef>
          </c:cat>
          <c:val>
            <c:numRef>
              <c:f>Dashboard!$S$27:$S$32</c:f>
              <c:numCache>
                <c:formatCode>General</c:formatCode>
                <c:ptCount val="6"/>
                <c:pt idx="0">
                  <c:v>126</c:v>
                </c:pt>
                <c:pt idx="1">
                  <c:v>1</c:v>
                </c:pt>
                <c:pt idx="2">
                  <c:v>7</c:v>
                </c:pt>
                <c:pt idx="3">
                  <c:v>1</c:v>
                </c:pt>
                <c:pt idx="5">
                  <c:v>63</c:v>
                </c:pt>
              </c:numCache>
            </c:numRef>
          </c:val>
          <c:extLst>
            <c:ext xmlns:c16="http://schemas.microsoft.com/office/drawing/2014/chart" uri="{C3380CC4-5D6E-409C-BE32-E72D297353CC}">
              <c16:uniqueId val="{00000000-EA11-4C32-A653-8EDB945EA233}"/>
            </c:ext>
          </c:extLst>
        </c:ser>
        <c:dLbls>
          <c:showLegendKey val="0"/>
          <c:showVal val="0"/>
          <c:showCatName val="0"/>
          <c:showSerName val="0"/>
          <c:showPercent val="0"/>
          <c:showBubbleSize val="0"/>
          <c:showLeaderLines val="1"/>
        </c:dLbls>
        <c:firstSliceAng val="0"/>
        <c:holeSize val="65"/>
      </c:doughnutChart>
      <c:spPr>
        <a:solidFill>
          <a:srgbClr val="1B1B2F"/>
        </a:solid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rgbClr val="AAAACC"/>
              </a:solidFill>
              <a:latin typeface="+mn-lt"/>
              <a:ea typeface="+mn-ea"/>
              <a:cs typeface="+mn-cs"/>
            </a:defRPr>
          </a:pPr>
          <a:endParaRPr lang="en-US"/>
        </a:p>
      </c:txPr>
    </c:legend>
    <c:plotVisOnly val="1"/>
    <c:dispBlanksAs val="gap"/>
    <c:showDLblsOverMax val="0"/>
  </c:chart>
  <c:spPr>
    <a:solidFill>
      <a:srgbClr val="1B1B2F"/>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nl-NL"/>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bar"/>
        <c:grouping val="clustered"/>
        <c:varyColors val="1"/>
        <c:ser>
          <c:idx val="0"/>
          <c:order val="0"/>
          <c:invertIfNegative val="0"/>
          <c:dPt>
            <c:idx val="0"/>
            <c:invertIfNegative val="0"/>
            <c:bubble3D val="0"/>
            <c:spPr>
              <a:solidFill>
                <a:srgbClr val="4A9BD9"/>
              </a:solidFill>
              <a:ln>
                <a:noFill/>
              </a:ln>
              <a:effectLst/>
            </c:spPr>
            <c:extLst>
              <c:ext xmlns:c16="http://schemas.microsoft.com/office/drawing/2014/chart" uri="{C3380CC4-5D6E-409C-BE32-E72D297353CC}">
                <c16:uniqueId val="{00000003-F254-4F2D-A4BE-E4BE2682BAF8}"/>
              </c:ext>
            </c:extLst>
          </c:dPt>
          <c:dPt>
            <c:idx val="1"/>
            <c:invertIfNegative val="0"/>
            <c:bubble3D val="0"/>
            <c:spPr>
              <a:solidFill>
                <a:srgbClr val="E8A838"/>
              </a:solidFill>
              <a:ln>
                <a:noFill/>
              </a:ln>
              <a:effectLst/>
            </c:spPr>
            <c:extLst>
              <c:ext xmlns:c16="http://schemas.microsoft.com/office/drawing/2014/chart" uri="{C3380CC4-5D6E-409C-BE32-E72D297353CC}">
                <c16:uniqueId val="{00000004-F254-4F2D-A4BE-E4BE2682BAF8}"/>
              </c:ext>
            </c:extLst>
          </c:dPt>
          <c:dPt>
            <c:idx val="2"/>
            <c:invertIfNegative val="0"/>
            <c:bubble3D val="0"/>
            <c:spPr>
              <a:solidFill>
                <a:srgbClr val="B07DD6"/>
              </a:solidFill>
              <a:ln>
                <a:noFill/>
              </a:ln>
              <a:effectLst/>
            </c:spPr>
            <c:extLst>
              <c:ext xmlns:c16="http://schemas.microsoft.com/office/drawing/2014/chart" uri="{C3380CC4-5D6E-409C-BE32-E72D297353CC}">
                <c16:uniqueId val="{00000005-F254-4F2D-A4BE-E4BE2682BAF8}"/>
              </c:ext>
            </c:extLst>
          </c:dPt>
          <c:dPt>
            <c:idx val="3"/>
            <c:invertIfNegative val="0"/>
            <c:bubble3D val="0"/>
            <c:spPr>
              <a:solidFill>
                <a:srgbClr val="4A9BD9"/>
              </a:solidFill>
              <a:ln>
                <a:noFill/>
              </a:ln>
              <a:effectLst/>
            </c:spPr>
            <c:extLst>
              <c:ext xmlns:c16="http://schemas.microsoft.com/office/drawing/2014/chart" uri="{C3380CC4-5D6E-409C-BE32-E72D297353CC}">
                <c16:uniqueId val="{00000006-F254-4F2D-A4BE-E4BE2682BAF8}"/>
              </c:ext>
            </c:extLst>
          </c:dPt>
          <c:dPt>
            <c:idx val="4"/>
            <c:invertIfNegative val="0"/>
            <c:bubble3D val="0"/>
            <c:spPr>
              <a:solidFill>
                <a:srgbClr val="50C878"/>
              </a:solidFill>
              <a:ln>
                <a:noFill/>
              </a:ln>
              <a:effectLst/>
            </c:spPr>
            <c:extLst>
              <c:ext xmlns:c16="http://schemas.microsoft.com/office/drawing/2014/chart" uri="{C3380CC4-5D6E-409C-BE32-E72D297353CC}">
                <c16:uniqueId val="{00000007-F254-4F2D-A4BE-E4BE2682BAF8}"/>
              </c:ext>
            </c:extLst>
          </c:dPt>
          <c:dPt>
            <c:idx val="5"/>
            <c:invertIfNegative val="0"/>
            <c:bubble3D val="0"/>
            <c:spPr>
              <a:solidFill>
                <a:srgbClr val="E85555"/>
              </a:solidFill>
              <a:ln>
                <a:noFill/>
              </a:ln>
              <a:effectLst/>
            </c:spPr>
            <c:extLst>
              <c:ext xmlns:c16="http://schemas.microsoft.com/office/drawing/2014/chart" uri="{C3380CC4-5D6E-409C-BE32-E72D297353CC}">
                <c16:uniqueId val="{00000008-F254-4F2D-A4BE-E4BE2682BAF8}"/>
              </c:ext>
            </c:extLst>
          </c:dPt>
          <c:dPt>
            <c:idx val="6"/>
            <c:invertIfNegative val="0"/>
            <c:bubble3D val="0"/>
            <c:spPr>
              <a:solidFill>
                <a:srgbClr val="E8A838"/>
              </a:solidFill>
              <a:ln>
                <a:noFill/>
              </a:ln>
              <a:effectLst/>
            </c:spPr>
            <c:extLst>
              <c:ext xmlns:c16="http://schemas.microsoft.com/office/drawing/2014/chart" uri="{C3380CC4-5D6E-409C-BE32-E72D297353CC}">
                <c16:uniqueId val="{00000009-F254-4F2D-A4BE-E4BE2682BAF8}"/>
              </c:ext>
            </c:extLst>
          </c:dPt>
          <c:dLbls>
            <c:dLbl>
              <c:idx val="0"/>
              <c:tx>
                <c:rich>
                  <a:bodyPr/>
                  <a:lstStyle/>
                  <a:p>
                    <a:r>
                      <a:rPr lang="en-US"/>
                      <a:t>33  (31%)</a:t>
                    </a:r>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3-F254-4F2D-A4BE-E4BE2682BAF8}"/>
                </c:ext>
              </c:extLst>
            </c:dLbl>
            <c:dLbl>
              <c:idx val="1"/>
              <c:tx>
                <c:rich>
                  <a:bodyPr/>
                  <a:lstStyle/>
                  <a:p>
                    <a:r>
                      <a:rPr lang="en-US"/>
                      <a:t>28  (27%)</a:t>
                    </a:r>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4-F254-4F2D-A4BE-E4BE2682BAF8}"/>
                </c:ext>
              </c:extLst>
            </c:dLbl>
            <c:dLbl>
              <c:idx val="2"/>
              <c:tx>
                <c:rich>
                  <a:bodyPr/>
                  <a:lstStyle/>
                  <a:p>
                    <a:r>
                      <a:rPr lang="en-US"/>
                      <a:t>20  (19%)</a:t>
                    </a:r>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5-F254-4F2D-A4BE-E4BE2682BAF8}"/>
                </c:ext>
              </c:extLst>
            </c:dLbl>
            <c:dLbl>
              <c:idx val="3"/>
              <c:tx>
                <c:rich>
                  <a:bodyPr/>
                  <a:lstStyle/>
                  <a:p>
                    <a:r>
                      <a:rPr lang="en-US"/>
                      <a:t>25  (24%)</a:t>
                    </a:r>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6-F254-4F2D-A4BE-E4BE2682BAF8}"/>
                </c:ext>
              </c:extLst>
            </c:dLbl>
            <c:dLbl>
              <c:idx val="4"/>
              <c:tx>
                <c:rich>
                  <a:bodyPr/>
                  <a:lstStyle/>
                  <a:p>
                    <a:r>
                      <a:rPr lang="en-US"/>
                      <a:t>2  (2%)</a:t>
                    </a:r>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7-F254-4F2D-A4BE-E4BE2682BAF8}"/>
                </c:ext>
              </c:extLst>
            </c:dLbl>
            <c:dLbl>
              <c:idx val="5"/>
              <c:tx>
                <c:rich>
                  <a:bodyPr/>
                  <a:lstStyle/>
                  <a:p>
                    <a:r>
                      <a:rPr lang="en-US"/>
                      <a:t>2  (2%)</a:t>
                    </a:r>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8-F254-4F2D-A4BE-E4BE2682BAF8}"/>
                </c:ext>
              </c:extLst>
            </c:dLbl>
            <c:dLbl>
              <c:idx val="6"/>
              <c:tx>
                <c:rich>
                  <a:bodyPr/>
                  <a:lstStyle/>
                  <a:p>
                    <a:r>
                      <a:rPr lang="en-US"/>
                      <a:t>45  (43%)</a:t>
                    </a:r>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9-F254-4F2D-A4BE-E4BE2682BAF8}"/>
                </c:ext>
              </c:extLst>
            </c:dLbl>
            <c:numFmt formatCode="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FFFFFF"/>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Dashboard!$R$34:$R$40</c:f>
              <c:strCache>
                <c:ptCount val="7"/>
                <c:pt idx="0">
                  <c:v>Summer→Winter</c:v>
                </c:pt>
                <c:pt idx="1">
                  <c:v>Lighting</c:v>
                </c:pt>
                <c:pt idx="2">
                  <c:v>Ambiance</c:v>
                </c:pt>
                <c:pt idx="3">
                  <c:v>Replace sky</c:v>
                </c:pt>
                <c:pt idx="4">
                  <c:v>Make beds</c:v>
                </c:pt>
                <c:pt idx="5">
                  <c:v>Remove object</c:v>
                </c:pt>
                <c:pt idx="6">
                  <c:v>Improve summer</c:v>
                </c:pt>
              </c:strCache>
            </c:strRef>
          </c:cat>
          <c:val>
            <c:numRef>
              <c:f>Dashboard!$S$34:$S$40</c:f>
              <c:numCache>
                <c:formatCode>General</c:formatCode>
                <c:ptCount val="7"/>
                <c:pt idx="0">
                  <c:v>48</c:v>
                </c:pt>
                <c:pt idx="1">
                  <c:v>51</c:v>
                </c:pt>
                <c:pt idx="2">
                  <c:v>38</c:v>
                </c:pt>
                <c:pt idx="3">
                  <c:v>34</c:v>
                </c:pt>
                <c:pt idx="4">
                  <c:v>2</c:v>
                </c:pt>
                <c:pt idx="5">
                  <c:v>32</c:v>
                </c:pt>
                <c:pt idx="6">
                  <c:v>71</c:v>
                </c:pt>
              </c:numCache>
            </c:numRef>
          </c:val>
          <c:extLst>
            <c:ext xmlns:c16="http://schemas.microsoft.com/office/drawing/2014/chart" uri="{C3380CC4-5D6E-409C-BE32-E72D297353CC}">
              <c16:uniqueId val="{00000000-F254-4F2D-A4BE-E4BE2682BAF8}"/>
            </c:ext>
          </c:extLst>
        </c:ser>
        <c:dLbls>
          <c:showLegendKey val="0"/>
          <c:showVal val="0"/>
          <c:showCatName val="0"/>
          <c:showSerName val="0"/>
          <c:showPercent val="0"/>
          <c:showBubbleSize val="0"/>
        </c:dLbls>
        <c:gapWidth val="182"/>
        <c:axId val="1919505416"/>
        <c:axId val="1919507464"/>
      </c:barChart>
      <c:catAx>
        <c:axId val="1919505416"/>
        <c:scaling>
          <c:orientation val="minMax"/>
        </c:scaling>
        <c:delete val="0"/>
        <c:axPos val="l"/>
        <c:numFmt formatCode="General" sourceLinked="1"/>
        <c:majorTickMark val="none"/>
        <c:minorTickMark val="none"/>
        <c:tickLblPos val="nextTo"/>
        <c:spPr>
          <a:noFill/>
          <a:ln w="9525" cap="flat" cmpd="sng" algn="ctr">
            <a:solidFill>
              <a:srgbClr val="3A3A5C"/>
            </a:solidFill>
            <a:prstDash val="solid"/>
            <a:round/>
          </a:ln>
          <a:effectLst/>
        </c:spPr>
        <c:txPr>
          <a:bodyPr rot="-60000000" spcFirstLastPara="1" vertOverflow="ellipsis" vert="horz" wrap="square" anchor="ctr" anchorCtr="1"/>
          <a:lstStyle/>
          <a:p>
            <a:pPr>
              <a:defRPr sz="900" b="0" i="0" u="none" strike="noStrike" kern="1200" baseline="0">
                <a:solidFill>
                  <a:srgbClr val="A0A0B8"/>
                </a:solidFill>
                <a:latin typeface="+mn-lt"/>
                <a:ea typeface="+mn-ea"/>
                <a:cs typeface="+mn-cs"/>
              </a:defRPr>
            </a:pPr>
            <a:endParaRPr lang="en-US"/>
          </a:p>
        </c:txPr>
        <c:crossAx val="1919507464"/>
        <c:crosses val="autoZero"/>
        <c:auto val="1"/>
        <c:lblAlgn val="ctr"/>
        <c:lblOffset val="100"/>
        <c:noMultiLvlLbl val="0"/>
      </c:catAx>
      <c:valAx>
        <c:axId val="1919507464"/>
        <c:scaling>
          <c:orientation val="minMax"/>
        </c:scaling>
        <c:delete val="0"/>
        <c:axPos val="b"/>
        <c:majorGridlines>
          <c:spPr>
            <a:ln w="9525" cap="flat" cmpd="sng" algn="ctr">
              <a:solidFill>
                <a:srgbClr val="2A2A4A"/>
              </a:solidFill>
              <a:prstDash val="solid"/>
              <a:round/>
            </a:ln>
            <a:effectLst/>
          </c:spPr>
        </c:majorGridlines>
        <c:numFmt formatCode="General" sourceLinked="1"/>
        <c:majorTickMark val="none"/>
        <c:minorTickMark val="none"/>
        <c:tickLblPos val="nextTo"/>
        <c:spPr>
          <a:noFill/>
          <a:ln>
            <a:solidFill>
              <a:srgbClr val="3A3A5C"/>
            </a:solidFill>
            <a:prstDash val="solid"/>
          </a:ln>
          <a:effectLst/>
        </c:spPr>
        <c:txPr>
          <a:bodyPr rot="-60000000" spcFirstLastPara="1" vertOverflow="ellipsis" vert="horz" wrap="square" anchor="ctr" anchorCtr="1"/>
          <a:lstStyle/>
          <a:p>
            <a:pPr>
              <a:defRPr sz="800" b="0" i="0" u="none" strike="noStrike" kern="1200" baseline="0">
                <a:solidFill>
                  <a:srgbClr val="A0A0B8"/>
                </a:solidFill>
                <a:latin typeface="+mn-lt"/>
                <a:ea typeface="+mn-ea"/>
                <a:cs typeface="+mn-cs"/>
              </a:defRPr>
            </a:pPr>
            <a:endParaRPr lang="en-US"/>
          </a:p>
        </c:txPr>
        <c:crossAx val="1919505416"/>
        <c:crosses val="autoZero"/>
        <c:crossBetween val="between"/>
      </c:valAx>
      <c:spPr>
        <a:noFill/>
        <a:ln>
          <a:noFill/>
        </a:ln>
        <a:effectLst/>
      </c:spPr>
    </c:plotArea>
    <c:plotVisOnly val="1"/>
    <c:dispBlanksAs val="gap"/>
    <c:showDLblsOverMax val="0"/>
  </c:chart>
  <c:spPr>
    <a:solidFill>
      <a:srgbClr val="1B1B2F"/>
    </a:solidFill>
    <a:ln w="25400" cap="flat" cmpd="sng" algn="ctr">
      <a:no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1</xdr:col>
      <xdr:colOff>152400</xdr:colOff>
      <xdr:row>40</xdr:row>
      <xdr:rowOff>0</xdr:rowOff>
    </xdr:from>
    <xdr:to>
      <xdr:col>5</xdr:col>
      <xdr:colOff>638175</xdr:colOff>
      <xdr:row>50</xdr:row>
      <xdr:rowOff>247650</xdr:rowOff>
    </xdr:to>
    <xdr:graphicFrame macro="">
      <xdr:nvGraphicFramePr>
        <xdr:cNvPr id="9" name="StatusDonut">
          <a:extLst>
            <a:ext uri="{FF2B5EF4-FFF2-40B4-BE49-F238E27FC236}">
              <a16:creationId xmlns:a16="http://schemas.microsoft.com/office/drawing/2014/main" id="{1539FC71-36E6-EA22-E47E-9EE8C63D04E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7</xdr:col>
      <xdr:colOff>0</xdr:colOff>
      <xdr:row>40</xdr:row>
      <xdr:rowOff>0</xdr:rowOff>
    </xdr:from>
    <xdr:to>
      <xdr:col>13</xdr:col>
      <xdr:colOff>0</xdr:colOff>
      <xdr:row>52</xdr:row>
      <xdr:rowOff>0</xdr:rowOff>
    </xdr:to>
    <xdr:graphicFrame macro="">
      <xdr:nvGraphicFramePr>
        <xdr:cNvPr id="11" name="GoalsBar">
          <a:extLst>
            <a:ext uri="{FF2B5EF4-FFF2-40B4-BE49-F238E27FC236}">
              <a16:creationId xmlns:a16="http://schemas.microsoft.com/office/drawing/2014/main" id="{4F26CB08-1326-9960-C35E-65F1975075E0}"/>
            </a:ext>
            <a:ext uri="{147F2762-F138-4A5C-976F-8EAC2B608ADB}">
              <a16:predDERef xmlns:a16="http://schemas.microsoft.com/office/drawing/2014/main" pred="{1539FC71-36E6-EA22-E47E-9EE8C63D04E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7BBB2A6C-0FD7-914A-8A1F-A4AA30A2B8F9}" name="Tabel13" displayName="Tabel13" ref="A4:Q356" totalsRowShown="0" headerRowDxfId="31" tableBorderDxfId="30">
  <autoFilter ref="A4:Q356" xr:uid="{62706B37-BB6F-4BA5-901C-D82719C832F9}">
    <filterColumn colId="11">
      <filters blank="1">
        <filter val="In process"/>
        <filter val="New"/>
        <filter val="QC"/>
      </filters>
    </filterColumn>
  </autoFilter>
  <sortState xmlns:xlrd2="http://schemas.microsoft.com/office/spreadsheetml/2017/richdata2" ref="A5:Q356">
    <sortCondition sortBy="cellColor" ref="M5:M356" dxfId="29"/>
    <sortCondition descending="1" sortBy="cellColor" ref="M5:M356" dxfId="28"/>
    <sortCondition sortBy="cellColor" ref="L5:L356" dxfId="27"/>
    <sortCondition sortBy="cellColor" ref="L5:L356" dxfId="26"/>
    <sortCondition sortBy="cellColor" ref="L5:L356" dxfId="25"/>
    <sortCondition ref="K5:K356"/>
  </sortState>
  <tableColumns count="17">
    <tableColumn id="1" xr3:uid="{EDBFF945-8E8E-454B-9DD8-2A4F4883C1FA}" name="Acco ID" dataDxfId="24"/>
    <tableColumn id="13" xr3:uid="{8388C0DA-D2A9-0B43-BC40-7810D0C535AE}" name="Summer → winter" dataDxfId="23"/>
    <tableColumn id="15" xr3:uid="{BB79BCF9-F2F2-0A41-8706-3FE7AC89920E}" name="Improve lighting" dataDxfId="22"/>
    <tableColumn id="17" xr3:uid="{F44881EE-3C26-3544-A10C-EB82525FC7BA}" name="Improve ambiance" dataDxfId="21"/>
    <tableColumn id="18" xr3:uid="{BFA51ABD-0408-C645-936E-83E616CFF572}" name="Replace sky" dataDxfId="20"/>
    <tableColumn id="16" xr3:uid="{178FE2E5-5850-D041-912C-E1A745710B9B}" name="Make beds" dataDxfId="19"/>
    <tableColumn id="14" xr3:uid="{F467A63D-6AF7-2D4F-8358-9A17A4B2734D}" name="Remove object" dataDxfId="18"/>
    <tableColumn id="12" xr3:uid="{35E70F1A-E52C-F04F-A8DD-13E3AD86A64E}" name="Improve summer" dataDxfId="17"/>
    <tableColumn id="2" xr3:uid="{440EA4F8-345E-1242-BC29-DC65EE971124}" name="Count" dataDxfId="16"/>
    <tableColumn id="5" xr3:uid="{FFD3A8C3-375A-0445-89C4-F850BEA6AE9E}" name="Assigned to" dataDxfId="15"/>
    <tableColumn id="6" xr3:uid="{CC4953BC-3B10-F24C-8FAA-7C94B8FB6981}" name="Date assigned" dataDxfId="14"/>
    <tableColumn id="7" xr3:uid="{C823E4B7-17E8-EA4C-9952-56B1309537F9}" name="Status" dataDxfId="13"/>
    <tableColumn id="8" xr3:uid="{FFACE536-3CF1-6844-B8E9-E30C67174E9C}" name="Priority" dataDxfId="12"/>
    <tableColumn id="9" xr3:uid="{B3A1B731-2365-5A4A-AB29-EF7BD21253B5}" name="Date completed" dataDxfId="11"/>
    <tableColumn id="10" xr3:uid="{81F8370A-1C7B-A54C-A220-F0B6ADB9F7BD}" name="Notes QC" dataDxfId="10"/>
    <tableColumn id="4" xr3:uid="{8D60F18B-1969-41F3-A952-2AE6FF281423}" name="Request date" dataDxfId="9"/>
    <tableColumn id="3" xr3:uid="{602C438F-BD74-4D60-9B33-201E215701E7}" name="Rental expert" dataDxfId="8"/>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ebextensions/_rels/taskpanes.xml.rels><?xml version="1.0" encoding="UTF-8" standalone="yes"?>
<Relationships xmlns="http://schemas.openxmlformats.org/package/2006/relationships"><Relationship Id="rId2" Type="http://schemas.microsoft.com/office/2011/relationships/webextension" Target="webextension2.xml"/><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1" width="438" row="3">
    <wetp:webextensionref xmlns:r="http://schemas.openxmlformats.org/officeDocument/2006/relationships" r:id="rId1"/>
  </wetp:taskpane>
  <wetp:taskpane dockstate="right" visibility="1" width="350" row="0">
    <wetp:webextensionref xmlns:r="http://schemas.openxmlformats.org/officeDocument/2006/relationships" r:id="rId2"/>
  </wetp:taskpane>
</wetp:taskpanes>
</file>

<file path=xl/webextensions/webextension1.xml><?xml version="1.0" encoding="utf-8"?>
<we:webextension xmlns:we="http://schemas.microsoft.com/office/webextensions/webextension/2010/11" id="{D70A56B7-D441-4561-9BE6-897A4D2F6F58}">
  <we:reference id="wa200009404" version="1.0.0.8" store="nl-NL" storeType="OMEX"/>
  <we:alternateReferences>
    <we:reference id="wa200009404" version="1.0.0.8" store="wa200009404" storeType="OMEX"/>
  </we:alternateReferences>
  <we:properties>
    <we:property name="claude.fileId" value="&quot;2ab58de2-34d8-4274-bf2a-4c8fa7105ef3&quot;"/>
  </we:properties>
  <we:bindings/>
  <we:snapshot xmlns:r="http://schemas.openxmlformats.org/officeDocument/2006/relationships"/>
  <we:extLst>
    <a:ext xmlns:a="http://schemas.openxmlformats.org/drawingml/2006/main" uri="{D87F86FE-615C-45B5-9D79-34F1136793EB}">
      <we:containsCustomFunctions/>
    </a:ext>
  </we:extLst>
</we:webextension>
</file>

<file path=xl/webextensions/webextension2.xml><?xml version="1.0" encoding="utf-8"?>
<we:webextension xmlns:we="http://schemas.microsoft.com/office/webextensions/webextension/2010/11" id="{5E7E3A82-B256-405C-8323-FF289F52BC53}">
  <we:reference id="WA200010725" version="1.0.0.1" store="nl-nl" storeType="omex"/>
  <we:alternateReferences>
    <we:reference id="WA200010725" version="1.0.0.1" store="nl-nl" storeType="omex"/>
  </we:alternateReferences>
  <we:properties>
    <we:property name="claude.fileId" value="&quot;f2fb9ecc-940d-4832-b20d-2980ee7473fd&quot;"/>
  </we:properties>
  <we:bindings/>
  <we:snapshot xmlns:r="http://schemas.openxmlformats.org/officeDocument/2006/relationships"/>
  <we:extLst>
    <a:ext xmlns:a="http://schemas.openxmlformats.org/drawingml/2006/main" uri="{D87F86FE-615C-45B5-9D79-34F1136793EB}">
      <we:containsCustomFunctions/>
    </a:ext>
  </we:extLst>
</we:webextension>
</file>

<file path=xl/worksheets/_rels/sheet1.xml.rels><?xml version="1.0" encoding="UTF-8" standalone="yes"?>
<Relationships xmlns="http://schemas.openxmlformats.org/package/2006/relationships"><Relationship Id="rId3" Type="http://schemas.openxmlformats.org/officeDocument/2006/relationships/hyperlink" Target="https://www.canva.com/folder/FAHJuF1hA4w" TargetMode="External"/><Relationship Id="rId2" Type="http://schemas.openxmlformats.org/officeDocument/2006/relationships/hyperlink" Target="https://aistudio.google.com/prompts/new_chat?model=gemini-2.5-flash-image" TargetMode="External"/><Relationship Id="rId1" Type="http://schemas.openxmlformats.org/officeDocument/2006/relationships/hyperlink" Target="https://ares.villaforyou.net/" TargetMode="External"/><Relationship Id="rId6" Type="http://schemas.openxmlformats.org/officeDocument/2006/relationships/table" Target="../tables/table1.xml"/><Relationship Id="rId5" Type="http://schemas.openxmlformats.org/officeDocument/2006/relationships/hyperlink" Target="https://teams.microsoft.com/l/meetup-join/19%3ameeting_ZTEzYjFhOTQtMWU0MC00YTM4LWFiZGItMTE0NDczNzE4NjYw%40thread.v2/0?context=%7b%22Tid%22%3a%2290693205-5c8f-498f-bb57-1237b62d57d2%22%2c%22Oid%22%3a%221b90c76a-81d6-4336-9088-e131aefc1593%22%7d" TargetMode="External"/><Relationship Id="rId4" Type="http://schemas.openxmlformats.org/officeDocument/2006/relationships/hyperlink" Target="https://villaforyou-my.sharepoint.com/:w:/p/wouter_manintveld/IQDtHad6xLg8SpHkXrB6VMDbAeFo9mXy8Yr3XCYJDQXHK0I?e=fQfolQ" TargetMode="External"/></Relationships>
</file>

<file path=xl/worksheets/_rels/sheet2.xml.rels><?xml version="1.0" encoding="UTF-8" standalone="yes"?>
<Relationships xmlns="http://schemas.openxmlformats.org/package/2006/relationships"><Relationship Id="rId3" Type="http://schemas.openxmlformats.org/officeDocument/2006/relationships/hyperlink" Target="https://www.canva.com/" TargetMode="External"/><Relationship Id="rId2" Type="http://schemas.openxmlformats.org/officeDocument/2006/relationships/hyperlink" Target="https://aistudio.google.com/prompts/new_chat?model=gemini-2.5-flash-image" TargetMode="External"/><Relationship Id="rId1" Type="http://schemas.openxmlformats.org/officeDocument/2006/relationships/hyperlink" Target="https://ares.villaforyou.net/" TargetMode="External"/><Relationship Id="rId4" Type="http://schemas.openxmlformats.org/officeDocument/2006/relationships/hyperlink" Target="https://villaforyou-my.sharepoint.com/:w:/p/wouter_manintveld/IQAT0wgpjYGPT76gZ8VrxvroAZkKamUkOanz83I_VCzO5V0?e=EdAdP2" TargetMode="Externa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DF66F2-365F-7647-9BC3-8052A25FAA18}">
  <dimension ref="A1:Q356"/>
  <sheetViews>
    <sheetView tabSelected="1" zoomScaleNormal="100" workbookViewId="0">
      <pane ySplit="4" topLeftCell="A63" activePane="bottomLeft" state="frozen"/>
      <selection pane="bottomLeft" activeCell="L62" sqref="L62"/>
    </sheetView>
  </sheetViews>
  <sheetFormatPr defaultColWidth="8.7109375" defaultRowHeight="14.45"/>
  <cols>
    <col min="1" max="1" width="16.28515625" style="82" customWidth="1"/>
    <col min="2" max="2" width="9.7109375" style="30" customWidth="1"/>
    <col min="3" max="3" width="9.7109375" style="31" customWidth="1"/>
    <col min="4" max="4" width="9.7109375" style="30" customWidth="1"/>
    <col min="5" max="5" width="9.7109375" style="31" customWidth="1"/>
    <col min="6" max="6" width="9.7109375" style="30" customWidth="1"/>
    <col min="7" max="7" width="9.7109375" style="31" customWidth="1"/>
    <col min="8" max="8" width="9.7109375" style="30" customWidth="1"/>
    <col min="9" max="9" width="13.85546875" style="169" customWidth="1"/>
    <col min="10" max="10" width="15.85546875" customWidth="1"/>
    <col min="11" max="11" width="15.7109375" customWidth="1"/>
    <col min="12" max="12" width="15.42578125" customWidth="1"/>
    <col min="13" max="13" width="12" customWidth="1"/>
    <col min="14" max="14" width="17.42578125" customWidth="1"/>
    <col min="15" max="15" width="41.5703125" customWidth="1"/>
    <col min="16" max="16" width="16.85546875" customWidth="1"/>
    <col min="17" max="17" width="25.85546875" customWidth="1"/>
    <col min="18" max="18" width="15.28515625" customWidth="1"/>
  </cols>
  <sheetData>
    <row r="1" spans="1:17" ht="21">
      <c r="A1" s="248" t="s">
        <v>0</v>
      </c>
      <c r="B1" s="248"/>
      <c r="C1" s="248"/>
      <c r="D1" s="248"/>
      <c r="E1" s="248"/>
      <c r="F1" s="248"/>
      <c r="G1" s="248"/>
      <c r="H1" s="248"/>
      <c r="I1" s="248"/>
      <c r="J1" s="248"/>
      <c r="K1" s="248"/>
      <c r="L1" s="248"/>
      <c r="M1" s="248"/>
      <c r="N1" s="248"/>
      <c r="O1" s="248"/>
      <c r="P1" s="45"/>
      <c r="Q1" s="45"/>
    </row>
    <row r="2" spans="1:17">
      <c r="A2" s="233" t="s">
        <v>1</v>
      </c>
      <c r="B2" s="79">
        <f>COUNTIF(L5:L356,"New")</f>
        <v>63</v>
      </c>
      <c r="C2" s="40"/>
      <c r="D2" s="4"/>
      <c r="E2" s="234" t="s">
        <v>2</v>
      </c>
      <c r="F2" s="79">
        <f>COUNTIF(L5:L356,"In process")</f>
        <v>1</v>
      </c>
      <c r="G2" s="40"/>
      <c r="H2" s="4"/>
      <c r="I2" s="29" t="s">
        <v>3</v>
      </c>
      <c r="J2" s="79">
        <f>COUNTIF(L5:L356,"QC")</f>
        <v>7</v>
      </c>
      <c r="K2" s="44"/>
      <c r="L2" s="235" t="s">
        <v>4</v>
      </c>
      <c r="M2" s="79">
        <f>COUNTIF(L5:L356,"Approved")</f>
        <v>126</v>
      </c>
      <c r="N2" s="29" t="s">
        <v>5</v>
      </c>
      <c r="O2" s="79">
        <f>COUNTIF(L5:L356,"Denied")</f>
        <v>1</v>
      </c>
      <c r="P2" s="79"/>
      <c r="Q2" s="44"/>
    </row>
    <row r="3" spans="1:17">
      <c r="A3" s="46" t="s">
        <v>6</v>
      </c>
      <c r="B3" s="41"/>
      <c r="C3" s="41" t="s">
        <v>7</v>
      </c>
      <c r="D3" s="41"/>
      <c r="E3" s="41"/>
      <c r="F3" s="41"/>
      <c r="G3" s="41" t="s">
        <v>8</v>
      </c>
      <c r="H3" s="41"/>
      <c r="I3" s="41"/>
      <c r="J3" s="41" t="s">
        <v>9</v>
      </c>
      <c r="K3" s="12"/>
      <c r="L3" s="41" t="s">
        <v>10</v>
      </c>
      <c r="M3" s="12"/>
      <c r="N3" s="12"/>
      <c r="O3" s="12"/>
      <c r="P3" s="12"/>
      <c r="Q3" s="12"/>
    </row>
    <row r="4" spans="1:17" ht="60.75" customHeight="1">
      <c r="A4" s="39" t="s">
        <v>11</v>
      </c>
      <c r="B4" s="42" t="s">
        <v>12</v>
      </c>
      <c r="C4" s="42" t="s">
        <v>13</v>
      </c>
      <c r="D4" s="43" t="s">
        <v>14</v>
      </c>
      <c r="E4" s="42" t="s">
        <v>15</v>
      </c>
      <c r="F4" s="42" t="s">
        <v>16</v>
      </c>
      <c r="G4" s="42" t="s">
        <v>17</v>
      </c>
      <c r="H4" s="42" t="s">
        <v>18</v>
      </c>
      <c r="I4" s="39" t="s">
        <v>19</v>
      </c>
      <c r="J4" s="39" t="s">
        <v>20</v>
      </c>
      <c r="K4" s="39" t="s">
        <v>21</v>
      </c>
      <c r="L4" s="39" t="s">
        <v>22</v>
      </c>
      <c r="M4" s="39" t="s">
        <v>23</v>
      </c>
      <c r="N4" s="39" t="s">
        <v>24</v>
      </c>
      <c r="O4" s="39" t="s">
        <v>25</v>
      </c>
      <c r="P4" s="39" t="s">
        <v>26</v>
      </c>
      <c r="Q4" s="55" t="s">
        <v>27</v>
      </c>
    </row>
    <row r="5" spans="1:17" hidden="1">
      <c r="A5" s="18" t="s">
        <v>28</v>
      </c>
      <c r="B5" s="34" t="s">
        <v>29</v>
      </c>
      <c r="C5" s="35"/>
      <c r="D5" s="34"/>
      <c r="E5" s="35"/>
      <c r="F5" s="34"/>
      <c r="G5" s="35"/>
      <c r="H5" s="34"/>
      <c r="I5" s="16">
        <v>3</v>
      </c>
      <c r="J5" s="18" t="s">
        <v>30</v>
      </c>
      <c r="K5" s="17">
        <v>46097</v>
      </c>
      <c r="L5" s="13" t="s">
        <v>31</v>
      </c>
      <c r="M5" s="16" t="s">
        <v>32</v>
      </c>
      <c r="N5" s="47">
        <v>46101</v>
      </c>
      <c r="O5" s="51"/>
      <c r="P5" s="206">
        <v>46097</v>
      </c>
      <c r="Q5" s="56" t="s">
        <v>33</v>
      </c>
    </row>
    <row r="6" spans="1:17" hidden="1">
      <c r="A6" s="18" t="s">
        <v>34</v>
      </c>
      <c r="B6" s="34" t="s">
        <v>35</v>
      </c>
      <c r="C6" s="35"/>
      <c r="D6" s="34"/>
      <c r="E6" s="35"/>
      <c r="F6" s="34"/>
      <c r="G6" s="35"/>
      <c r="H6" s="34"/>
      <c r="I6" s="16">
        <v>3</v>
      </c>
      <c r="J6" s="18" t="s">
        <v>30</v>
      </c>
      <c r="K6" s="17">
        <v>46097</v>
      </c>
      <c r="L6" s="13" t="s">
        <v>31</v>
      </c>
      <c r="M6" s="16" t="s">
        <v>32</v>
      </c>
      <c r="N6" s="47">
        <v>46101</v>
      </c>
      <c r="O6" s="51"/>
      <c r="P6" s="206">
        <v>46097</v>
      </c>
      <c r="Q6" s="56" t="s">
        <v>36</v>
      </c>
    </row>
    <row r="7" spans="1:17" hidden="1">
      <c r="A7" s="18" t="s">
        <v>37</v>
      </c>
      <c r="B7" s="34" t="s">
        <v>38</v>
      </c>
      <c r="C7" s="35"/>
      <c r="D7" s="34"/>
      <c r="E7" s="35"/>
      <c r="F7" s="34"/>
      <c r="G7" s="35"/>
      <c r="H7" s="34"/>
      <c r="I7" s="16">
        <v>3</v>
      </c>
      <c r="J7" s="18" t="s">
        <v>30</v>
      </c>
      <c r="K7" s="17">
        <v>46097</v>
      </c>
      <c r="L7" s="13" t="s">
        <v>31</v>
      </c>
      <c r="M7" s="16" t="s">
        <v>32</v>
      </c>
      <c r="N7" s="47">
        <v>46106</v>
      </c>
      <c r="O7" s="51" t="s">
        <v>39</v>
      </c>
      <c r="P7" s="206">
        <v>46097</v>
      </c>
      <c r="Q7" s="56" t="s">
        <v>36</v>
      </c>
    </row>
    <row r="8" spans="1:17" ht="27.6" hidden="1">
      <c r="A8" s="15" t="s">
        <v>40</v>
      </c>
      <c r="B8" s="34" t="s">
        <v>41</v>
      </c>
      <c r="C8" s="38"/>
      <c r="D8" s="34"/>
      <c r="E8" s="38"/>
      <c r="F8" s="34"/>
      <c r="G8" s="38"/>
      <c r="H8" s="34"/>
      <c r="I8" s="13">
        <v>3</v>
      </c>
      <c r="J8" s="15" t="s">
        <v>30</v>
      </c>
      <c r="K8" s="14">
        <v>46097</v>
      </c>
      <c r="L8" s="13" t="s">
        <v>31</v>
      </c>
      <c r="M8" s="16" t="s">
        <v>32</v>
      </c>
      <c r="N8" s="48">
        <v>46108</v>
      </c>
      <c r="O8" s="52" t="s">
        <v>42</v>
      </c>
      <c r="P8" s="207">
        <v>46097</v>
      </c>
      <c r="Q8" s="57" t="s">
        <v>33</v>
      </c>
    </row>
    <row r="9" spans="1:17" hidden="1">
      <c r="A9" s="18" t="s">
        <v>43</v>
      </c>
      <c r="B9" s="34" t="s">
        <v>44</v>
      </c>
      <c r="C9" s="35"/>
      <c r="D9" s="34"/>
      <c r="E9" s="35"/>
      <c r="F9" s="34"/>
      <c r="G9" s="35"/>
      <c r="H9" s="34"/>
      <c r="I9" s="16">
        <v>1</v>
      </c>
      <c r="J9" s="18" t="s">
        <v>30</v>
      </c>
      <c r="K9" s="17">
        <v>46097</v>
      </c>
      <c r="L9" s="13" t="s">
        <v>31</v>
      </c>
      <c r="M9" s="16" t="s">
        <v>32</v>
      </c>
      <c r="N9" s="47">
        <v>46112</v>
      </c>
      <c r="O9" s="51"/>
      <c r="P9" s="206">
        <v>46097</v>
      </c>
      <c r="Q9" s="56" t="s">
        <v>45</v>
      </c>
    </row>
    <row r="10" spans="1:17" hidden="1">
      <c r="A10" s="18" t="s">
        <v>46</v>
      </c>
      <c r="B10" s="34" t="s">
        <v>47</v>
      </c>
      <c r="C10" s="35"/>
      <c r="D10" s="34"/>
      <c r="E10" s="35"/>
      <c r="F10" s="34"/>
      <c r="G10" s="35"/>
      <c r="H10" s="34"/>
      <c r="I10" s="16">
        <v>1</v>
      </c>
      <c r="J10" s="18" t="s">
        <v>30</v>
      </c>
      <c r="K10" s="17">
        <v>46097</v>
      </c>
      <c r="L10" s="13" t="s">
        <v>31</v>
      </c>
      <c r="M10" s="16" t="s">
        <v>32</v>
      </c>
      <c r="N10" s="47">
        <v>46112</v>
      </c>
      <c r="O10" s="51"/>
      <c r="P10" s="206">
        <v>46097</v>
      </c>
      <c r="Q10" s="56" t="s">
        <v>45</v>
      </c>
    </row>
    <row r="11" spans="1:17" ht="27.6" hidden="1">
      <c r="A11" s="15" t="s">
        <v>48</v>
      </c>
      <c r="B11" s="34"/>
      <c r="C11" s="38"/>
      <c r="D11" s="34"/>
      <c r="E11" s="38"/>
      <c r="F11" s="34"/>
      <c r="G11" s="38"/>
      <c r="H11" s="60" t="s">
        <v>49</v>
      </c>
      <c r="I11" s="36" cm="1">
        <f t="array" ref="I11">SUMPRODUCT((B11:H11&lt;&gt;"")*1+(LEN(B11:H11)-LEN(SUBSTITUTE(B11:H11,",",""))))</f>
        <v>6</v>
      </c>
      <c r="J11" s="13" t="s">
        <v>30</v>
      </c>
      <c r="K11" s="37">
        <v>46107</v>
      </c>
      <c r="L11" s="13" t="s">
        <v>31</v>
      </c>
      <c r="M11" s="13" t="s">
        <v>32</v>
      </c>
      <c r="N11" s="49">
        <v>46112</v>
      </c>
      <c r="O11" s="53"/>
      <c r="P11" s="208">
        <v>46107</v>
      </c>
      <c r="Q11" s="58" t="s">
        <v>45</v>
      </c>
    </row>
    <row r="12" spans="1:17" ht="55.15" hidden="1">
      <c r="A12" s="18" t="s">
        <v>50</v>
      </c>
      <c r="B12" s="34"/>
      <c r="C12" s="35"/>
      <c r="D12" s="34"/>
      <c r="E12" s="35"/>
      <c r="F12" s="34"/>
      <c r="G12" s="35"/>
      <c r="H12" s="60" t="s">
        <v>51</v>
      </c>
      <c r="I12" s="32" cm="1">
        <f t="array" ref="I12">SUMPRODUCT((B12:H12&lt;&gt;"")*1+(LEN(B12:H12)-LEN(SUBSTITUTE(B12:H12,",",""))))</f>
        <v>9</v>
      </c>
      <c r="J12" s="16" t="s">
        <v>30</v>
      </c>
      <c r="K12" s="33">
        <v>46107</v>
      </c>
      <c r="L12" s="13" t="s">
        <v>31</v>
      </c>
      <c r="M12" s="13" t="s">
        <v>32</v>
      </c>
      <c r="N12" s="50">
        <v>46112</v>
      </c>
      <c r="O12" s="54" t="s">
        <v>52</v>
      </c>
      <c r="P12" s="209">
        <v>46107</v>
      </c>
      <c r="Q12" s="59" t="s">
        <v>45</v>
      </c>
    </row>
    <row r="13" spans="1:17" ht="41.45" hidden="1">
      <c r="A13" s="18" t="s">
        <v>53</v>
      </c>
      <c r="B13" s="75" t="s">
        <v>54</v>
      </c>
      <c r="C13" s="76"/>
      <c r="D13" s="75"/>
      <c r="E13" s="76"/>
      <c r="F13" s="75"/>
      <c r="G13" s="76" t="s">
        <v>55</v>
      </c>
      <c r="H13" s="34"/>
      <c r="I13" s="32" cm="1">
        <f t="array" ref="I13">SUMPRODUCT((B13:H13&lt;&gt;"")*1+(LEN(B13:H13)-LEN(SUBSTITUTE(B13:H13,",",""))))</f>
        <v>13</v>
      </c>
      <c r="J13" s="32" t="s">
        <v>30</v>
      </c>
      <c r="K13" s="17">
        <v>46115</v>
      </c>
      <c r="L13" s="13" t="s">
        <v>31</v>
      </c>
      <c r="M13" s="16" t="s">
        <v>32</v>
      </c>
      <c r="N13" s="50">
        <v>46127</v>
      </c>
      <c r="O13" s="51" t="s">
        <v>56</v>
      </c>
      <c r="P13" s="206">
        <v>46115</v>
      </c>
      <c r="Q13" s="59" t="s">
        <v>45</v>
      </c>
    </row>
    <row r="14" spans="1:17" ht="41.45" hidden="1">
      <c r="A14" s="15" t="s">
        <v>57</v>
      </c>
      <c r="B14" s="34"/>
      <c r="C14" s="38"/>
      <c r="D14" s="34"/>
      <c r="E14" s="38"/>
      <c r="F14" s="34"/>
      <c r="G14" s="38"/>
      <c r="H14" s="155" t="s">
        <v>58</v>
      </c>
      <c r="I14" s="36" cm="1">
        <f t="array" ref="I14">SUMPRODUCT((B14:H14&lt;&gt;"")*1+(LEN(B14:H14)-LEN(SUBSTITUTE(B14:H14,",",""))))</f>
        <v>3</v>
      </c>
      <c r="J14" s="36" t="s">
        <v>30</v>
      </c>
      <c r="K14" s="14">
        <v>46121</v>
      </c>
      <c r="L14" s="13" t="s">
        <v>31</v>
      </c>
      <c r="M14" s="13" t="s">
        <v>32</v>
      </c>
      <c r="N14" s="49">
        <v>46127</v>
      </c>
      <c r="O14" s="52" t="s">
        <v>59</v>
      </c>
      <c r="P14" s="207">
        <v>46121</v>
      </c>
      <c r="Q14" s="58" t="s">
        <v>60</v>
      </c>
    </row>
    <row r="15" spans="1:17" hidden="1">
      <c r="A15" s="18" t="s">
        <v>61</v>
      </c>
      <c r="B15" s="34"/>
      <c r="C15" s="35"/>
      <c r="D15" s="34"/>
      <c r="E15" s="35"/>
      <c r="F15" s="34"/>
      <c r="G15" s="35"/>
      <c r="H15" s="60" t="s">
        <v>62</v>
      </c>
      <c r="I15" s="32" cm="1">
        <f t="array" ref="I15">SUMPRODUCT((B15:H15&lt;&gt;"")*1+(LEN(B15:H15)-LEN(SUBSTITUTE(B15:H15,",",""))))</f>
        <v>3</v>
      </c>
      <c r="J15" s="32" t="s">
        <v>30</v>
      </c>
      <c r="K15" s="33">
        <v>46121</v>
      </c>
      <c r="L15" s="13" t="s">
        <v>31</v>
      </c>
      <c r="M15" s="13" t="s">
        <v>32</v>
      </c>
      <c r="N15" s="50">
        <v>46127</v>
      </c>
      <c r="O15" s="54" t="s">
        <v>63</v>
      </c>
      <c r="P15" s="209">
        <v>46121</v>
      </c>
      <c r="Q15" s="59" t="s">
        <v>60</v>
      </c>
    </row>
    <row r="16" spans="1:17" hidden="1">
      <c r="A16" s="15" t="s">
        <v>64</v>
      </c>
      <c r="B16" s="34"/>
      <c r="C16" s="38"/>
      <c r="D16" s="34"/>
      <c r="E16" s="38"/>
      <c r="F16" s="34"/>
      <c r="G16" s="38"/>
      <c r="H16" s="34" t="s">
        <v>65</v>
      </c>
      <c r="I16" s="36" cm="1">
        <f t="array" ref="I16">SUMPRODUCT((B16:H16&lt;&gt;"")*1+(LEN(B16:H16)-LEN(SUBSTITUTE(B16:H16,",",""))))</f>
        <v>3</v>
      </c>
      <c r="J16" s="36" t="s">
        <v>30</v>
      </c>
      <c r="K16" s="37">
        <v>46121</v>
      </c>
      <c r="L16" s="13" t="s">
        <v>31</v>
      </c>
      <c r="M16" s="13" t="s">
        <v>32</v>
      </c>
      <c r="N16" s="49">
        <v>46127</v>
      </c>
      <c r="O16" s="53" t="s">
        <v>66</v>
      </c>
      <c r="P16" s="208">
        <v>46121</v>
      </c>
      <c r="Q16" s="58" t="s">
        <v>60</v>
      </c>
    </row>
    <row r="17" spans="1:17" hidden="1">
      <c r="A17" s="15" t="s">
        <v>67</v>
      </c>
      <c r="B17" s="34"/>
      <c r="C17" s="38"/>
      <c r="D17" s="34"/>
      <c r="E17" s="38"/>
      <c r="F17" s="34"/>
      <c r="G17" s="38"/>
      <c r="H17" s="34" t="s">
        <v>68</v>
      </c>
      <c r="I17" s="36" cm="1">
        <f t="array" ref="I17">SUMPRODUCT((B17:H17&lt;&gt;"")*1+(LEN(B17:H17)-LEN(SUBSTITUTE(B17:H17,",",""))))</f>
        <v>3</v>
      </c>
      <c r="J17" s="36" t="s">
        <v>30</v>
      </c>
      <c r="K17" s="37">
        <v>46121</v>
      </c>
      <c r="L17" s="13" t="s">
        <v>31</v>
      </c>
      <c r="M17" s="13" t="s">
        <v>32</v>
      </c>
      <c r="N17" s="49">
        <v>46127</v>
      </c>
      <c r="O17" s="53"/>
      <c r="P17" s="208">
        <v>46121</v>
      </c>
      <c r="Q17" s="58" t="s">
        <v>60</v>
      </c>
    </row>
    <row r="18" spans="1:17" hidden="1">
      <c r="A18" s="18" t="s">
        <v>69</v>
      </c>
      <c r="B18" s="34"/>
      <c r="C18" s="35"/>
      <c r="D18" s="34"/>
      <c r="E18" s="35"/>
      <c r="F18" s="34"/>
      <c r="G18" s="35"/>
      <c r="H18" s="34" t="s">
        <v>70</v>
      </c>
      <c r="I18" s="32" cm="1">
        <f t="array" ref="I18">SUMPRODUCT((B18:H18&lt;&gt;"")*1+(LEN(B18:H18)-LEN(SUBSTITUTE(B18:H18,",",""))))</f>
        <v>2</v>
      </c>
      <c r="J18" s="32" t="s">
        <v>30</v>
      </c>
      <c r="K18" s="33">
        <v>46121</v>
      </c>
      <c r="L18" s="13" t="s">
        <v>31</v>
      </c>
      <c r="M18" s="13" t="s">
        <v>32</v>
      </c>
      <c r="N18" s="50">
        <v>46127</v>
      </c>
      <c r="O18" s="54"/>
      <c r="P18" s="209">
        <v>46121</v>
      </c>
      <c r="Q18" s="59" t="s">
        <v>60</v>
      </c>
    </row>
    <row r="19" spans="1:17" hidden="1">
      <c r="A19" s="18" t="s">
        <v>71</v>
      </c>
      <c r="B19" s="34"/>
      <c r="C19" s="35"/>
      <c r="D19" s="34"/>
      <c r="E19" s="35"/>
      <c r="F19" s="34"/>
      <c r="G19" s="35"/>
      <c r="H19" s="34" t="s">
        <v>72</v>
      </c>
      <c r="I19" s="32" cm="1">
        <f t="array" ref="I19">SUMPRODUCT((B19:H19&lt;&gt;"")*1+(LEN(B19:H19)-LEN(SUBSTITUTE(B19:H19,",",""))))</f>
        <v>2</v>
      </c>
      <c r="J19" s="32" t="s">
        <v>30</v>
      </c>
      <c r="K19" s="33">
        <v>46121</v>
      </c>
      <c r="L19" s="13" t="s">
        <v>31</v>
      </c>
      <c r="M19" s="13" t="s">
        <v>32</v>
      </c>
      <c r="N19" s="50">
        <v>46127</v>
      </c>
      <c r="O19" s="54"/>
      <c r="P19" s="209">
        <v>46121</v>
      </c>
      <c r="Q19" s="59" t="s">
        <v>60</v>
      </c>
    </row>
    <row r="20" spans="1:17" hidden="1">
      <c r="A20" s="18" t="s">
        <v>73</v>
      </c>
      <c r="B20" s="34"/>
      <c r="C20" s="35"/>
      <c r="D20" s="34"/>
      <c r="E20" s="35"/>
      <c r="F20" s="34"/>
      <c r="G20" s="35"/>
      <c r="H20" s="34" t="s">
        <v>74</v>
      </c>
      <c r="I20" s="32" cm="1">
        <f t="array" ref="I20">SUMPRODUCT((B20:H20&lt;&gt;"")*1+(LEN(B20:H20)-LEN(SUBSTITUTE(B20:H20,",",""))))</f>
        <v>3</v>
      </c>
      <c r="J20" s="32" t="s">
        <v>30</v>
      </c>
      <c r="K20" s="33">
        <v>46121</v>
      </c>
      <c r="L20" s="13" t="s">
        <v>31</v>
      </c>
      <c r="M20" s="13" t="s">
        <v>32</v>
      </c>
      <c r="N20" s="50">
        <v>46125</v>
      </c>
      <c r="O20" s="54"/>
      <c r="P20" s="209">
        <v>46121</v>
      </c>
      <c r="Q20" s="59" t="s">
        <v>60</v>
      </c>
    </row>
    <row r="21" spans="1:17" hidden="1">
      <c r="A21" s="15" t="s">
        <v>75</v>
      </c>
      <c r="B21" s="34"/>
      <c r="C21" s="38"/>
      <c r="D21" s="34"/>
      <c r="E21" s="38"/>
      <c r="F21" s="34"/>
      <c r="G21" s="38"/>
      <c r="H21" s="34" t="s">
        <v>76</v>
      </c>
      <c r="I21" s="36" cm="1">
        <f t="array" ref="I21">SUMPRODUCT((B21:H21&lt;&gt;"")*1+(LEN(B21:H21)-LEN(SUBSTITUTE(B21:H21,",",""))))</f>
        <v>2</v>
      </c>
      <c r="J21" s="36" t="s">
        <v>30</v>
      </c>
      <c r="K21" s="37">
        <v>46121</v>
      </c>
      <c r="L21" s="13" t="s">
        <v>31</v>
      </c>
      <c r="M21" s="13" t="s">
        <v>32</v>
      </c>
      <c r="N21" s="49">
        <v>46125</v>
      </c>
      <c r="O21" s="53"/>
      <c r="P21" s="208">
        <v>46121</v>
      </c>
      <c r="Q21" s="58" t="s">
        <v>60</v>
      </c>
    </row>
    <row r="22" spans="1:17" hidden="1">
      <c r="A22" s="18" t="s">
        <v>77</v>
      </c>
      <c r="B22" s="34"/>
      <c r="C22" s="35"/>
      <c r="D22" s="34"/>
      <c r="E22" s="35"/>
      <c r="F22" s="34"/>
      <c r="G22" s="35"/>
      <c r="H22" s="34" t="s">
        <v>78</v>
      </c>
      <c r="I22" s="32" cm="1">
        <f t="array" ref="I22">SUMPRODUCT((B22:H22&lt;&gt;"")*1+(LEN(B22:H22)-LEN(SUBSTITUTE(B22:H22,",",""))))</f>
        <v>2</v>
      </c>
      <c r="J22" s="32" t="s">
        <v>30</v>
      </c>
      <c r="K22" s="33">
        <v>46121</v>
      </c>
      <c r="L22" s="13" t="s">
        <v>31</v>
      </c>
      <c r="M22" s="13" t="s">
        <v>32</v>
      </c>
      <c r="N22" s="50">
        <v>46125</v>
      </c>
      <c r="O22" s="54"/>
      <c r="P22" s="209">
        <v>46121</v>
      </c>
      <c r="Q22" s="59" t="s">
        <v>60</v>
      </c>
    </row>
    <row r="23" spans="1:17" hidden="1">
      <c r="A23" s="15" t="s">
        <v>79</v>
      </c>
      <c r="B23" s="34"/>
      <c r="C23" s="38"/>
      <c r="D23" s="34"/>
      <c r="E23" s="38"/>
      <c r="F23" s="34"/>
      <c r="G23" s="38"/>
      <c r="H23" s="34" t="s">
        <v>80</v>
      </c>
      <c r="I23" s="36" cm="1">
        <f t="array" ref="I23">SUMPRODUCT((B23:H23&lt;&gt;"")*1+(LEN(B23:H23)-LEN(SUBSTITUTE(B23:H23,",",""))))</f>
        <v>2</v>
      </c>
      <c r="J23" s="36" t="s">
        <v>30</v>
      </c>
      <c r="K23" s="37">
        <v>46121</v>
      </c>
      <c r="L23" s="13" t="s">
        <v>31</v>
      </c>
      <c r="M23" s="13" t="s">
        <v>32</v>
      </c>
      <c r="N23" s="49">
        <v>46125</v>
      </c>
      <c r="O23" s="53"/>
      <c r="P23" s="208">
        <v>46121</v>
      </c>
      <c r="Q23" s="58" t="s">
        <v>60</v>
      </c>
    </row>
    <row r="24" spans="1:17" hidden="1">
      <c r="A24" s="18" t="s">
        <v>81</v>
      </c>
      <c r="B24" s="34"/>
      <c r="C24" s="35"/>
      <c r="D24" s="34"/>
      <c r="E24" s="35"/>
      <c r="F24" s="34"/>
      <c r="G24" s="35"/>
      <c r="H24" s="34" t="s">
        <v>82</v>
      </c>
      <c r="I24" s="32" cm="1">
        <f t="array" ref="I24">SUMPRODUCT((B24:H24&lt;&gt;"")*1+(LEN(B24:H24)-LEN(SUBSTITUTE(B24:H24,",",""))))</f>
        <v>2</v>
      </c>
      <c r="J24" s="32" t="s">
        <v>30</v>
      </c>
      <c r="K24" s="33">
        <v>46121</v>
      </c>
      <c r="L24" s="13" t="s">
        <v>31</v>
      </c>
      <c r="M24" s="13" t="s">
        <v>32</v>
      </c>
      <c r="N24" s="50">
        <v>46125</v>
      </c>
      <c r="O24" s="54"/>
      <c r="P24" s="209">
        <v>46121</v>
      </c>
      <c r="Q24" s="59" t="s">
        <v>60</v>
      </c>
    </row>
    <row r="25" spans="1:17" hidden="1">
      <c r="A25" s="15" t="s">
        <v>83</v>
      </c>
      <c r="B25" s="34"/>
      <c r="C25" s="38"/>
      <c r="D25" s="34"/>
      <c r="E25" s="38"/>
      <c r="F25" s="34"/>
      <c r="G25" s="38"/>
      <c r="H25" s="34">
        <v>69</v>
      </c>
      <c r="I25" s="36" cm="1">
        <f t="array" ref="I25">SUMPRODUCT((B25:H25&lt;&gt;"")*1+(LEN(B25:H25)-LEN(SUBSTITUTE(B25:H25,",",""))))</f>
        <v>1</v>
      </c>
      <c r="J25" s="36" t="s">
        <v>30</v>
      </c>
      <c r="K25" s="37">
        <v>46121</v>
      </c>
      <c r="L25" s="13" t="s">
        <v>31</v>
      </c>
      <c r="M25" s="13" t="s">
        <v>32</v>
      </c>
      <c r="N25" s="49">
        <v>46125</v>
      </c>
      <c r="O25" s="53"/>
      <c r="P25" s="208">
        <v>46121</v>
      </c>
      <c r="Q25" s="58" t="s">
        <v>60</v>
      </c>
    </row>
    <row r="26" spans="1:17" hidden="1">
      <c r="A26" s="18" t="s">
        <v>84</v>
      </c>
      <c r="B26" s="34"/>
      <c r="C26" s="35"/>
      <c r="D26" s="34"/>
      <c r="E26" s="35"/>
      <c r="F26" s="34"/>
      <c r="G26" s="35"/>
      <c r="H26" s="34" t="s">
        <v>85</v>
      </c>
      <c r="I26" s="32" cm="1">
        <f t="array" ref="I26">SUMPRODUCT((B26:H26&lt;&gt;"")*1+(LEN(B26:H26)-LEN(SUBSTITUTE(B26:H26,",",""))))</f>
        <v>2</v>
      </c>
      <c r="J26" s="32" t="s">
        <v>30</v>
      </c>
      <c r="K26" s="33">
        <v>46121</v>
      </c>
      <c r="L26" s="13" t="s">
        <v>31</v>
      </c>
      <c r="M26" s="13" t="s">
        <v>32</v>
      </c>
      <c r="N26" s="50">
        <v>46125</v>
      </c>
      <c r="O26" s="54" t="s">
        <v>86</v>
      </c>
      <c r="P26" s="209">
        <v>46121</v>
      </c>
      <c r="Q26" s="59" t="s">
        <v>60</v>
      </c>
    </row>
    <row r="27" spans="1:17" hidden="1">
      <c r="A27" s="18" t="s">
        <v>87</v>
      </c>
      <c r="B27" s="34"/>
      <c r="C27" s="35"/>
      <c r="D27" s="34"/>
      <c r="E27" s="35"/>
      <c r="F27" s="34"/>
      <c r="G27" s="35"/>
      <c r="H27" s="34" t="s">
        <v>88</v>
      </c>
      <c r="I27" s="32" cm="1">
        <f t="array" ref="I27">SUMPRODUCT((B27:H27&lt;&gt;"")*1+(LEN(B27:H27)-LEN(SUBSTITUTE(B27:H27,",",""))))</f>
        <v>2</v>
      </c>
      <c r="J27" s="32" t="s">
        <v>30</v>
      </c>
      <c r="K27" s="33">
        <v>46121</v>
      </c>
      <c r="L27" s="13" t="s">
        <v>31</v>
      </c>
      <c r="M27" s="13" t="s">
        <v>32</v>
      </c>
      <c r="N27" s="50">
        <v>46127</v>
      </c>
      <c r="O27" s="54"/>
      <c r="P27" s="209">
        <v>46121</v>
      </c>
      <c r="Q27" s="59" t="s">
        <v>60</v>
      </c>
    </row>
    <row r="28" spans="1:17" hidden="1">
      <c r="A28" s="15" t="s">
        <v>89</v>
      </c>
      <c r="B28" s="34"/>
      <c r="C28" s="38"/>
      <c r="D28" s="34"/>
      <c r="E28" s="38"/>
      <c r="F28" s="34"/>
      <c r="G28" s="38"/>
      <c r="H28" s="34" t="s">
        <v>90</v>
      </c>
      <c r="I28" s="36" cm="1">
        <f t="array" ref="I28">SUMPRODUCT((B28:H28&lt;&gt;"")*1+(LEN(B28:H28)-LEN(SUBSTITUTE(B28:H28,",",""))))</f>
        <v>2</v>
      </c>
      <c r="J28" s="36" t="s">
        <v>30</v>
      </c>
      <c r="K28" s="37">
        <v>46121</v>
      </c>
      <c r="L28" s="13" t="s">
        <v>31</v>
      </c>
      <c r="M28" s="13" t="s">
        <v>32</v>
      </c>
      <c r="N28" s="49">
        <v>46127</v>
      </c>
      <c r="O28" s="53"/>
      <c r="P28" s="208">
        <v>46121</v>
      </c>
      <c r="Q28" s="58" t="s">
        <v>60</v>
      </c>
    </row>
    <row r="29" spans="1:17" hidden="1">
      <c r="A29" s="15" t="s">
        <v>91</v>
      </c>
      <c r="B29" s="34"/>
      <c r="C29" s="38"/>
      <c r="D29" s="34"/>
      <c r="E29" s="38"/>
      <c r="F29" s="34"/>
      <c r="G29" s="38"/>
      <c r="H29" s="34">
        <v>40</v>
      </c>
      <c r="I29" s="36" cm="1">
        <f t="array" ref="I29">SUMPRODUCT((B29:H29&lt;&gt;"")*1+(LEN(B29:H29)-LEN(SUBSTITUTE(B29:H29,",",""))))</f>
        <v>1</v>
      </c>
      <c r="J29" s="36" t="s">
        <v>30</v>
      </c>
      <c r="K29" s="37">
        <v>46121</v>
      </c>
      <c r="L29" s="13" t="s">
        <v>31</v>
      </c>
      <c r="M29" s="13" t="s">
        <v>32</v>
      </c>
      <c r="N29" s="49">
        <v>46127</v>
      </c>
      <c r="O29" s="53"/>
      <c r="P29" s="208">
        <v>46121</v>
      </c>
      <c r="Q29" s="58" t="s">
        <v>60</v>
      </c>
    </row>
    <row r="30" spans="1:17" hidden="1">
      <c r="A30" s="18" t="s">
        <v>92</v>
      </c>
      <c r="B30" s="34"/>
      <c r="C30" s="35"/>
      <c r="D30" s="34"/>
      <c r="E30" s="35"/>
      <c r="F30" s="34"/>
      <c r="G30" s="35"/>
      <c r="H30" s="34" t="s">
        <v>93</v>
      </c>
      <c r="I30" s="32" cm="1">
        <f t="array" ref="I30">SUMPRODUCT((B30:H30&lt;&gt;"")*1+(LEN(B30:H30)-LEN(SUBSTITUTE(B30:H30,",",""))))</f>
        <v>2</v>
      </c>
      <c r="J30" s="32" t="s">
        <v>30</v>
      </c>
      <c r="K30" s="33">
        <v>46121</v>
      </c>
      <c r="L30" s="13" t="s">
        <v>31</v>
      </c>
      <c r="M30" s="13" t="s">
        <v>32</v>
      </c>
      <c r="N30" s="50">
        <v>46127</v>
      </c>
      <c r="O30" s="54"/>
      <c r="P30" s="209">
        <v>46121</v>
      </c>
      <c r="Q30" s="59" t="s">
        <v>60</v>
      </c>
    </row>
    <row r="31" spans="1:17" hidden="1">
      <c r="A31" s="15" t="s">
        <v>94</v>
      </c>
      <c r="B31" s="34"/>
      <c r="C31" s="38"/>
      <c r="D31" s="34"/>
      <c r="E31" s="38"/>
      <c r="F31" s="34"/>
      <c r="G31" s="38"/>
      <c r="H31" s="34" t="s">
        <v>95</v>
      </c>
      <c r="I31" s="36" cm="1">
        <f t="array" ref="I31">SUMPRODUCT((B31:H31&lt;&gt;"")*1+(LEN(B31:H31)-LEN(SUBSTITUTE(B31:H31,",",""))))</f>
        <v>2</v>
      </c>
      <c r="J31" s="36" t="s">
        <v>30</v>
      </c>
      <c r="K31" s="37">
        <v>46121</v>
      </c>
      <c r="L31" s="13" t="s">
        <v>31</v>
      </c>
      <c r="M31" s="13" t="s">
        <v>32</v>
      </c>
      <c r="N31" s="49">
        <v>46127</v>
      </c>
      <c r="O31" s="53"/>
      <c r="P31" s="208">
        <v>46121</v>
      </c>
      <c r="Q31" s="58" t="s">
        <v>60</v>
      </c>
    </row>
    <row r="32" spans="1:17" ht="207" hidden="1">
      <c r="A32" s="15" t="s">
        <v>96</v>
      </c>
      <c r="B32" s="34"/>
      <c r="C32" s="77" t="s">
        <v>97</v>
      </c>
      <c r="D32" s="60" t="s">
        <v>98</v>
      </c>
      <c r="E32" s="77"/>
      <c r="F32" s="60" t="s">
        <v>99</v>
      </c>
      <c r="G32" s="77" t="s">
        <v>100</v>
      </c>
      <c r="H32" s="34"/>
      <c r="I32" s="36" cm="1">
        <f t="array" ref="I32">SUMPRODUCT((B32:H32&lt;&gt;"")*1+(LEN(B32:H32)-LEN(SUBSTITUTE(B32:H32,",",""))))</f>
        <v>17</v>
      </c>
      <c r="J32" s="36" t="s">
        <v>101</v>
      </c>
      <c r="K32" s="37">
        <v>46122</v>
      </c>
      <c r="L32" s="13" t="s">
        <v>31</v>
      </c>
      <c r="M32" s="13" t="s">
        <v>32</v>
      </c>
      <c r="N32" s="49">
        <v>46122</v>
      </c>
      <c r="O32" s="78" t="s">
        <v>102</v>
      </c>
      <c r="P32" s="210">
        <v>46121</v>
      </c>
      <c r="Q32" s="58" t="s">
        <v>103</v>
      </c>
    </row>
    <row r="33" spans="1:17" ht="55.15" hidden="1">
      <c r="A33" s="18" t="s">
        <v>104</v>
      </c>
      <c r="B33" s="34"/>
      <c r="C33" s="35"/>
      <c r="D33" s="60" t="s">
        <v>105</v>
      </c>
      <c r="E33" s="35"/>
      <c r="F33" s="34"/>
      <c r="G33" s="35"/>
      <c r="H33" s="34"/>
      <c r="I33" s="32" cm="1">
        <f t="array" ref="I33">SUMPRODUCT((B33:H33&lt;&gt;"")*1+(LEN(B33:H33)-LEN(SUBSTITUTE(B33:H33,",",""))))</f>
        <v>14</v>
      </c>
      <c r="J33" s="32" t="s">
        <v>101</v>
      </c>
      <c r="K33" s="33">
        <v>46122</v>
      </c>
      <c r="L33" s="16" t="s">
        <v>31</v>
      </c>
      <c r="M33" s="32" t="s">
        <v>32</v>
      </c>
      <c r="N33" s="50">
        <v>46122</v>
      </c>
      <c r="O33" s="51" t="s">
        <v>106</v>
      </c>
      <c r="P33" s="206">
        <v>46121</v>
      </c>
      <c r="Q33" s="59" t="s">
        <v>103</v>
      </c>
    </row>
    <row r="34" spans="1:17" ht="69" hidden="1">
      <c r="A34" s="18" t="s">
        <v>107</v>
      </c>
      <c r="B34" s="34"/>
      <c r="C34" s="154" t="s">
        <v>108</v>
      </c>
      <c r="D34" s="60" t="s">
        <v>108</v>
      </c>
      <c r="E34" s="35"/>
      <c r="F34" s="34"/>
      <c r="G34" s="35"/>
      <c r="H34" s="34"/>
      <c r="I34" s="16" cm="1">
        <f t="array" ref="I34">SUMPRODUCT((B34:H34&lt;&gt;"")*1+(LEN(B34:H34)-LEN(SUBSTITUTE(B34:H34,",",""))))</f>
        <v>32</v>
      </c>
      <c r="J34" s="16" t="s">
        <v>30</v>
      </c>
      <c r="K34" s="17">
        <v>46127</v>
      </c>
      <c r="L34" s="13" t="s">
        <v>31</v>
      </c>
      <c r="M34" s="16" t="s">
        <v>32</v>
      </c>
      <c r="N34" s="50">
        <v>46134</v>
      </c>
      <c r="O34" s="51" t="s">
        <v>109</v>
      </c>
      <c r="P34" s="206">
        <v>46127</v>
      </c>
      <c r="Q34" s="59" t="s">
        <v>110</v>
      </c>
    </row>
    <row r="35" spans="1:17" hidden="1">
      <c r="A35" s="15" t="s">
        <v>111</v>
      </c>
      <c r="B35" s="34" t="s">
        <v>112</v>
      </c>
      <c r="C35" s="38"/>
      <c r="D35" s="34"/>
      <c r="E35" s="38"/>
      <c r="F35" s="34"/>
      <c r="G35" s="38"/>
      <c r="H35" s="34"/>
      <c r="I35" s="13">
        <v>3</v>
      </c>
      <c r="J35" s="15" t="s">
        <v>30</v>
      </c>
      <c r="K35" s="14">
        <v>46128</v>
      </c>
      <c r="L35" s="13" t="s">
        <v>31</v>
      </c>
      <c r="M35" s="16" t="s">
        <v>32</v>
      </c>
      <c r="N35" s="48">
        <v>46134</v>
      </c>
      <c r="O35" s="52"/>
      <c r="P35" s="207">
        <v>46128</v>
      </c>
      <c r="Q35" s="57" t="s">
        <v>36</v>
      </c>
    </row>
    <row r="36" spans="1:17" ht="41.45" hidden="1">
      <c r="A36" s="18" t="s">
        <v>113</v>
      </c>
      <c r="B36" s="34"/>
      <c r="C36" s="35"/>
      <c r="D36" s="34"/>
      <c r="E36" s="35"/>
      <c r="F36" s="34"/>
      <c r="G36" s="35" t="s">
        <v>114</v>
      </c>
      <c r="H36" s="34"/>
      <c r="I36" s="16" cm="1">
        <f t="array" ref="I36">SUMPRODUCT((B36:H36&lt;&gt;"")*1+(LEN(B36:H36)-LEN(SUBSTITUTE(B36:H36,",",""))))</f>
        <v>3</v>
      </c>
      <c r="J36" s="32" t="s">
        <v>30</v>
      </c>
      <c r="K36" s="33">
        <v>46133</v>
      </c>
      <c r="L36" s="13" t="s">
        <v>31</v>
      </c>
      <c r="M36" s="32" t="s">
        <v>32</v>
      </c>
      <c r="N36" s="50">
        <v>46136</v>
      </c>
      <c r="O36" s="51" t="s">
        <v>115</v>
      </c>
      <c r="P36" s="206">
        <v>46133</v>
      </c>
      <c r="Q36" s="59" t="s">
        <v>33</v>
      </c>
    </row>
    <row r="37" spans="1:17" hidden="1">
      <c r="A37" s="18" t="s">
        <v>53</v>
      </c>
      <c r="B37" s="34"/>
      <c r="C37" s="35"/>
      <c r="D37" s="34"/>
      <c r="E37" s="35"/>
      <c r="F37" s="34"/>
      <c r="G37" s="35">
        <v>64</v>
      </c>
      <c r="H37" s="34"/>
      <c r="I37" s="16" cm="1">
        <f t="array" ref="I37">SUMPRODUCT((B37:H37&lt;&gt;"")*1+(LEN(B37:H37)-LEN(SUBSTITUTE(B37:H37,",",""))))</f>
        <v>1</v>
      </c>
      <c r="J37" s="32" t="s">
        <v>30</v>
      </c>
      <c r="K37" s="33">
        <v>46133</v>
      </c>
      <c r="L37" s="16" t="s">
        <v>31</v>
      </c>
      <c r="M37" s="32" t="s">
        <v>32</v>
      </c>
      <c r="N37" s="50">
        <v>46136</v>
      </c>
      <c r="O37" s="54" t="s">
        <v>116</v>
      </c>
      <c r="P37" s="209">
        <v>46133</v>
      </c>
      <c r="Q37" s="59" t="s">
        <v>45</v>
      </c>
    </row>
    <row r="38" spans="1:17" ht="41.45" hidden="1">
      <c r="A38" s="18" t="s">
        <v>117</v>
      </c>
      <c r="B38" s="34"/>
      <c r="C38" s="35"/>
      <c r="D38" s="34"/>
      <c r="E38" s="35"/>
      <c r="F38" s="34"/>
      <c r="G38" s="154" t="s">
        <v>118</v>
      </c>
      <c r="H38" s="34"/>
      <c r="I38" s="16" cm="1">
        <f t="array" ref="I38">SUMPRODUCT((B38:H38&lt;&gt;"")*1+(LEN(B38:H38)-LEN(SUBSTITUTE(B38:H38,",",""))))</f>
        <v>9</v>
      </c>
      <c r="J38" s="16" t="s">
        <v>30</v>
      </c>
      <c r="K38" s="17">
        <v>46146</v>
      </c>
      <c r="L38" s="16" t="s">
        <v>31</v>
      </c>
      <c r="M38" s="32" t="s">
        <v>32</v>
      </c>
      <c r="N38" s="50">
        <v>46158</v>
      </c>
      <c r="O38" s="54" t="s">
        <v>119</v>
      </c>
      <c r="P38" s="219">
        <v>46146</v>
      </c>
      <c r="Q38" s="59" t="s">
        <v>120</v>
      </c>
    </row>
    <row r="39" spans="1:17" ht="27.6" hidden="1">
      <c r="A39" s="15" t="s">
        <v>121</v>
      </c>
      <c r="B39" s="60" t="s">
        <v>122</v>
      </c>
      <c r="C39" s="38"/>
      <c r="D39" s="34"/>
      <c r="E39" s="38"/>
      <c r="F39" s="34"/>
      <c r="G39" s="38"/>
      <c r="H39" s="34"/>
      <c r="I39" s="13" cm="1">
        <f t="array" ref="I39">SUMPRODUCT((B39:H39&lt;&gt;"")*1+(LEN(B39:H39)-LEN(SUBSTITUTE(B39:H39,",",""))))</f>
        <v>5</v>
      </c>
      <c r="J39" s="36" t="s">
        <v>30</v>
      </c>
      <c r="K39" s="37">
        <v>46121</v>
      </c>
      <c r="L39" s="13" t="s">
        <v>31</v>
      </c>
      <c r="M39" s="36" t="s">
        <v>123</v>
      </c>
      <c r="N39" s="49">
        <v>46148</v>
      </c>
      <c r="O39" s="53"/>
      <c r="P39" s="53"/>
      <c r="Q39" s="58" t="s">
        <v>45</v>
      </c>
    </row>
    <row r="40" spans="1:17" hidden="1">
      <c r="A40" s="18" t="s">
        <v>124</v>
      </c>
      <c r="B40" s="75" t="s">
        <v>125</v>
      </c>
      <c r="C40" s="76"/>
      <c r="D40" s="75"/>
      <c r="E40" s="76"/>
      <c r="F40" s="75"/>
      <c r="G40" s="76"/>
      <c r="H40" s="34"/>
      <c r="I40" s="16" cm="1">
        <f t="array" ref="I40">SUMPRODUCT((B40:H40&lt;&gt;"")*1+(LEN(B40:H40)-LEN(SUBSTITUTE(B40:H40,",",""))))</f>
        <v>3</v>
      </c>
      <c r="J40" s="32" t="s">
        <v>30</v>
      </c>
      <c r="K40" s="33">
        <v>46146</v>
      </c>
      <c r="L40" s="13" t="s">
        <v>31</v>
      </c>
      <c r="M40" s="16" t="s">
        <v>123</v>
      </c>
      <c r="N40" s="50">
        <v>46148</v>
      </c>
      <c r="O40" s="54"/>
      <c r="P40" s="54"/>
      <c r="Q40" s="59" t="s">
        <v>45</v>
      </c>
    </row>
    <row r="41" spans="1:17" ht="41.45" hidden="1">
      <c r="A41" s="18" t="s">
        <v>126</v>
      </c>
      <c r="B41" s="34"/>
      <c r="C41" s="35"/>
      <c r="D41" s="34"/>
      <c r="E41" s="35"/>
      <c r="F41" s="34"/>
      <c r="G41" s="35"/>
      <c r="H41" s="60" t="s">
        <v>127</v>
      </c>
      <c r="I41" s="16" cm="1">
        <f t="array" ref="I41">SUMPRODUCT((B41:H41&lt;&gt;"")*1+(LEN(B41:H41)-LEN(SUBSTITUTE(B41:H41,",",""))))</f>
        <v>5</v>
      </c>
      <c r="J41" s="32" t="s">
        <v>30</v>
      </c>
      <c r="K41" s="17">
        <v>46146</v>
      </c>
      <c r="L41" s="13" t="s">
        <v>31</v>
      </c>
      <c r="M41" s="16" t="s">
        <v>123</v>
      </c>
      <c r="N41" s="50">
        <v>46148</v>
      </c>
      <c r="O41" s="54"/>
      <c r="P41" s="209">
        <v>46146</v>
      </c>
      <c r="Q41" s="59" t="s">
        <v>128</v>
      </c>
    </row>
    <row r="42" spans="1:17" ht="50.25">
      <c r="A42" s="15" t="s">
        <v>129</v>
      </c>
      <c r="B42" s="60" t="s">
        <v>130</v>
      </c>
      <c r="C42" s="77"/>
      <c r="D42" s="60"/>
      <c r="E42" s="77"/>
      <c r="F42" s="60"/>
      <c r="G42" s="77"/>
      <c r="H42" s="60" t="s">
        <v>131</v>
      </c>
      <c r="I42" s="13" cm="1">
        <f t="array" ref="I42">SUMPRODUCT((B42:H42&lt;&gt;"")*1+(LEN(B42:H42)-LEN(SUBSTITUTE(B42:H42,",",""))))</f>
        <v>13</v>
      </c>
      <c r="J42" s="13" t="s">
        <v>132</v>
      </c>
      <c r="K42" s="14">
        <v>46211</v>
      </c>
      <c r="L42" s="16" t="s">
        <v>133</v>
      </c>
      <c r="M42" s="16" t="s">
        <v>32</v>
      </c>
      <c r="N42" s="49"/>
      <c r="O42" s="52" t="s">
        <v>134</v>
      </c>
      <c r="P42" s="208">
        <v>46211</v>
      </c>
      <c r="Q42" s="58" t="s">
        <v>45</v>
      </c>
    </row>
    <row r="43" spans="1:17" hidden="1">
      <c r="A43" s="18" t="s">
        <v>135</v>
      </c>
      <c r="B43" s="193"/>
      <c r="C43" s="199"/>
      <c r="D43" s="193"/>
      <c r="E43" s="199"/>
      <c r="F43" s="193"/>
      <c r="G43" s="199"/>
      <c r="H43" s="193" t="s">
        <v>136</v>
      </c>
      <c r="I43" s="16" cm="1">
        <f t="array" ref="I43">SUMPRODUCT((B43:H43&lt;&gt;"")*1+(LEN(B43:H43)-LEN(SUBSTITUTE(B43:H43,",",""))))</f>
        <v>2</v>
      </c>
      <c r="J43" s="32" t="s">
        <v>30</v>
      </c>
      <c r="K43" s="33">
        <v>46146</v>
      </c>
      <c r="L43" s="13" t="s">
        <v>31</v>
      </c>
      <c r="M43" s="32" t="s">
        <v>123</v>
      </c>
      <c r="N43" s="50">
        <v>46148</v>
      </c>
      <c r="O43" s="54"/>
      <c r="P43" s="209">
        <v>46146</v>
      </c>
      <c r="Q43" s="59" t="s">
        <v>60</v>
      </c>
    </row>
    <row r="44" spans="1:17" ht="41.45" hidden="1">
      <c r="A44" s="15" t="s">
        <v>137</v>
      </c>
      <c r="B44" s="34"/>
      <c r="C44" s="38"/>
      <c r="D44" s="34"/>
      <c r="E44" s="38"/>
      <c r="F44" s="34"/>
      <c r="G44" s="77" t="s">
        <v>138</v>
      </c>
      <c r="H44" s="34"/>
      <c r="I44" s="13" cm="1">
        <f t="array" ref="I44">SUMPRODUCT((B44:H44&lt;&gt;"")*1+(LEN(B44:H44)-LEN(SUBSTITUTE(B44:H44,",",""))))</f>
        <v>6</v>
      </c>
      <c r="J44" s="36" t="s">
        <v>30</v>
      </c>
      <c r="K44" s="37">
        <v>46146</v>
      </c>
      <c r="L44" s="16" t="s">
        <v>31</v>
      </c>
      <c r="M44" s="32" t="s">
        <v>32</v>
      </c>
      <c r="N44" s="49">
        <v>46158</v>
      </c>
      <c r="O44" s="53" t="s">
        <v>119</v>
      </c>
      <c r="P44" s="208">
        <v>46146</v>
      </c>
      <c r="Q44" s="58" t="s">
        <v>120</v>
      </c>
    </row>
    <row r="45" spans="1:17" ht="27.6" hidden="1">
      <c r="A45" s="15" t="s">
        <v>139</v>
      </c>
      <c r="B45" s="34"/>
      <c r="C45" s="38"/>
      <c r="D45" s="34"/>
      <c r="E45" s="38"/>
      <c r="F45" s="34"/>
      <c r="G45" s="77" t="s">
        <v>140</v>
      </c>
      <c r="H45" s="34"/>
      <c r="I45" s="13" cm="1">
        <f t="array" ref="I45">SUMPRODUCT((B45:H45&lt;&gt;"")*1+(LEN(B45:H45)-LEN(SUBSTITUTE(B45:H45,",",""))))</f>
        <v>5</v>
      </c>
      <c r="J45" s="36" t="s">
        <v>30</v>
      </c>
      <c r="K45" s="37">
        <v>46146</v>
      </c>
      <c r="L45" s="16" t="s">
        <v>31</v>
      </c>
      <c r="M45" s="32" t="s">
        <v>32</v>
      </c>
      <c r="N45" s="49">
        <v>46158</v>
      </c>
      <c r="O45" s="53" t="s">
        <v>119</v>
      </c>
      <c r="P45" s="208">
        <v>46146</v>
      </c>
      <c r="Q45" s="58" t="s">
        <v>120</v>
      </c>
    </row>
    <row r="46" spans="1:17" ht="27.6" hidden="1">
      <c r="A46" s="18" t="s">
        <v>141</v>
      </c>
      <c r="B46" s="34"/>
      <c r="C46" s="35"/>
      <c r="D46" s="34"/>
      <c r="E46" s="35"/>
      <c r="F46" s="34"/>
      <c r="G46" s="154" t="s">
        <v>142</v>
      </c>
      <c r="H46" s="34"/>
      <c r="I46" s="16" cm="1">
        <f t="array" ref="I46">SUMPRODUCT((B46:H46&lt;&gt;"")*1+(LEN(B46:H46)-LEN(SUBSTITUTE(B46:H46,",",""))))</f>
        <v>5</v>
      </c>
      <c r="J46" s="32" t="s">
        <v>30</v>
      </c>
      <c r="K46" s="33">
        <v>46146</v>
      </c>
      <c r="L46" s="16" t="s">
        <v>31</v>
      </c>
      <c r="M46" s="32" t="s">
        <v>32</v>
      </c>
      <c r="N46" s="50">
        <v>46159</v>
      </c>
      <c r="O46" s="54" t="s">
        <v>119</v>
      </c>
      <c r="P46" s="209">
        <v>46146</v>
      </c>
      <c r="Q46" s="59" t="s">
        <v>120</v>
      </c>
    </row>
    <row r="47" spans="1:17" ht="27.6" hidden="1">
      <c r="A47" s="15" t="s">
        <v>143</v>
      </c>
      <c r="B47" s="34"/>
      <c r="C47" s="38"/>
      <c r="D47" s="34"/>
      <c r="E47" s="38"/>
      <c r="F47" s="34"/>
      <c r="G47" s="77" t="s">
        <v>144</v>
      </c>
      <c r="H47" s="34"/>
      <c r="I47" s="13" cm="1">
        <f t="array" ref="I47">SUMPRODUCT((B47:H47&lt;&gt;"")*1+(LEN(B47:H47)-LEN(SUBSTITUTE(B47:H47,",",""))))</f>
        <v>4</v>
      </c>
      <c r="J47" s="36" t="s">
        <v>30</v>
      </c>
      <c r="K47" s="37">
        <v>46146</v>
      </c>
      <c r="L47" s="16" t="s">
        <v>31</v>
      </c>
      <c r="M47" s="32" t="s">
        <v>32</v>
      </c>
      <c r="N47" s="49">
        <v>46159</v>
      </c>
      <c r="O47" s="53" t="s">
        <v>119</v>
      </c>
      <c r="P47" s="208">
        <v>46146</v>
      </c>
      <c r="Q47" s="58" t="s">
        <v>120</v>
      </c>
    </row>
    <row r="48" spans="1:17" ht="27.6" hidden="1">
      <c r="A48" s="18" t="s">
        <v>145</v>
      </c>
      <c r="B48" s="34"/>
      <c r="C48" s="35"/>
      <c r="D48" s="34"/>
      <c r="E48" s="35"/>
      <c r="F48" s="34"/>
      <c r="G48" s="154" t="s">
        <v>146</v>
      </c>
      <c r="H48" s="34"/>
      <c r="I48" s="16" cm="1">
        <f t="array" ref="I48">SUMPRODUCT((B48:H48&lt;&gt;"")*1+(LEN(B48:H48)-LEN(SUBSTITUTE(B48:H48,",",""))))</f>
        <v>4</v>
      </c>
      <c r="J48" s="32" t="s">
        <v>30</v>
      </c>
      <c r="K48" s="33">
        <v>46146</v>
      </c>
      <c r="L48" s="16" t="s">
        <v>31</v>
      </c>
      <c r="M48" s="16" t="s">
        <v>32</v>
      </c>
      <c r="N48" s="50">
        <v>46159</v>
      </c>
      <c r="O48" s="54" t="s">
        <v>119</v>
      </c>
      <c r="P48" s="209">
        <v>46146</v>
      </c>
      <c r="Q48" s="59" t="s">
        <v>120</v>
      </c>
    </row>
    <row r="49" spans="1:17" ht="27.6" hidden="1">
      <c r="A49" s="15" t="s">
        <v>147</v>
      </c>
      <c r="B49" s="34"/>
      <c r="C49" s="38"/>
      <c r="D49" s="34"/>
      <c r="E49" s="38"/>
      <c r="F49" s="34"/>
      <c r="G49" s="77" t="s">
        <v>148</v>
      </c>
      <c r="H49" s="34"/>
      <c r="I49" s="13" cm="1">
        <f t="array" ref="I49">SUMPRODUCT((B49:H49&lt;&gt;"")*1+(LEN(B49:H49)-LEN(SUBSTITUTE(B49:H49,",",""))))</f>
        <v>4</v>
      </c>
      <c r="J49" s="36" t="s">
        <v>30</v>
      </c>
      <c r="K49" s="37">
        <v>46146</v>
      </c>
      <c r="L49" s="16" t="s">
        <v>31</v>
      </c>
      <c r="M49" s="32" t="s">
        <v>32</v>
      </c>
      <c r="N49" s="49">
        <v>46159</v>
      </c>
      <c r="O49" s="53" t="s">
        <v>119</v>
      </c>
      <c r="P49" s="208">
        <v>46146</v>
      </c>
      <c r="Q49" s="58" t="s">
        <v>120</v>
      </c>
    </row>
    <row r="50" spans="1:17" ht="27.6" hidden="1">
      <c r="A50" s="15" t="s">
        <v>149</v>
      </c>
      <c r="B50" s="34"/>
      <c r="C50" s="38"/>
      <c r="D50" s="34"/>
      <c r="E50" s="38"/>
      <c r="F50" s="34"/>
      <c r="G50" s="77" t="s">
        <v>150</v>
      </c>
      <c r="H50" s="34"/>
      <c r="I50" s="13" cm="1">
        <f t="array" ref="I50">SUMPRODUCT((B50:H50&lt;&gt;"")*1+(LEN(B50:H50)-LEN(SUBSTITUTE(B50:H50,",",""))))</f>
        <v>4</v>
      </c>
      <c r="J50" s="36" t="s">
        <v>30</v>
      </c>
      <c r="K50" s="37">
        <v>46146</v>
      </c>
      <c r="L50" s="16" t="s">
        <v>31</v>
      </c>
      <c r="M50" s="32" t="s">
        <v>32</v>
      </c>
      <c r="N50" s="49">
        <v>46164</v>
      </c>
      <c r="O50" s="53" t="s">
        <v>119</v>
      </c>
      <c r="P50" s="208">
        <v>46146</v>
      </c>
      <c r="Q50" s="58" t="s">
        <v>120</v>
      </c>
    </row>
    <row r="51" spans="1:17" ht="27.6" hidden="1">
      <c r="A51" s="18" t="s">
        <v>151</v>
      </c>
      <c r="B51" s="34"/>
      <c r="C51" s="35"/>
      <c r="D51" s="34"/>
      <c r="E51" s="35"/>
      <c r="F51" s="34"/>
      <c r="G51" s="154" t="s">
        <v>152</v>
      </c>
      <c r="H51" s="34"/>
      <c r="I51" s="16" cm="1">
        <f t="array" ref="I51">SUMPRODUCT((B51:H51&lt;&gt;"")*1+(LEN(B51:H51)-LEN(SUBSTITUTE(B51:H51,",",""))))</f>
        <v>5</v>
      </c>
      <c r="J51" s="32" t="s">
        <v>30</v>
      </c>
      <c r="K51" s="33">
        <v>46146</v>
      </c>
      <c r="L51" s="16" t="s">
        <v>31</v>
      </c>
      <c r="M51" s="32" t="s">
        <v>32</v>
      </c>
      <c r="N51" s="50">
        <v>46159</v>
      </c>
      <c r="O51" s="54" t="s">
        <v>119</v>
      </c>
      <c r="P51" s="209">
        <v>46146</v>
      </c>
      <c r="Q51" s="59" t="s">
        <v>120</v>
      </c>
    </row>
    <row r="52" spans="1:17" ht="27.6" hidden="1">
      <c r="A52" s="15" t="s">
        <v>153</v>
      </c>
      <c r="B52" s="34"/>
      <c r="C52" s="38"/>
      <c r="D52" s="34"/>
      <c r="E52" s="38"/>
      <c r="F52" s="34"/>
      <c r="G52" s="77" t="s">
        <v>154</v>
      </c>
      <c r="H52" s="34"/>
      <c r="I52" s="13" cm="1">
        <f t="array" ref="I52">SUMPRODUCT((B52:H52&lt;&gt;"")*1+(LEN(B52:H52)-LEN(SUBSTITUTE(B52:H52,",",""))))</f>
        <v>4</v>
      </c>
      <c r="J52" s="36" t="s">
        <v>30</v>
      </c>
      <c r="K52" s="37">
        <v>46146</v>
      </c>
      <c r="L52" s="16" t="s">
        <v>31</v>
      </c>
      <c r="M52" s="32" t="s">
        <v>32</v>
      </c>
      <c r="N52" s="49">
        <v>46159</v>
      </c>
      <c r="O52" s="53" t="s">
        <v>119</v>
      </c>
      <c r="P52" s="208">
        <v>46146</v>
      </c>
      <c r="Q52" s="58" t="s">
        <v>120</v>
      </c>
    </row>
    <row r="53" spans="1:17" ht="27.6" hidden="1">
      <c r="A53" s="18" t="s">
        <v>155</v>
      </c>
      <c r="B53" s="34"/>
      <c r="C53" s="35"/>
      <c r="D53" s="34"/>
      <c r="E53" s="35"/>
      <c r="F53" s="34"/>
      <c r="G53" s="154" t="s">
        <v>156</v>
      </c>
      <c r="H53" s="34"/>
      <c r="I53" s="16" cm="1">
        <f t="array" ref="I53">SUMPRODUCT((B53:H53&lt;&gt;"")*1+(LEN(B53:H53)-LEN(SUBSTITUTE(B53:H53,",",""))))</f>
        <v>4</v>
      </c>
      <c r="J53" s="32" t="s">
        <v>30</v>
      </c>
      <c r="K53" s="33">
        <v>46146</v>
      </c>
      <c r="L53" s="16" t="s">
        <v>31</v>
      </c>
      <c r="M53" s="32" t="s">
        <v>32</v>
      </c>
      <c r="N53" s="50">
        <v>46159</v>
      </c>
      <c r="O53" s="54" t="s">
        <v>119</v>
      </c>
      <c r="P53" s="209">
        <v>46146</v>
      </c>
      <c r="Q53" s="59" t="s">
        <v>120</v>
      </c>
    </row>
    <row r="54" spans="1:17" hidden="1">
      <c r="A54" s="15" t="s">
        <v>157</v>
      </c>
      <c r="B54" s="34"/>
      <c r="C54" s="38"/>
      <c r="D54" s="34"/>
      <c r="E54" s="38"/>
      <c r="F54" s="34"/>
      <c r="G54" s="77" t="s">
        <v>158</v>
      </c>
      <c r="H54" s="34"/>
      <c r="I54" s="13" cm="1">
        <f t="array" ref="I54">SUMPRODUCT((B54:H54&lt;&gt;"")*1+(LEN(B54:H54)-LEN(SUBSTITUTE(B54:H54,",",""))))</f>
        <v>4</v>
      </c>
      <c r="J54" s="36" t="s">
        <v>30</v>
      </c>
      <c r="K54" s="37">
        <v>46146</v>
      </c>
      <c r="L54" s="16" t="s">
        <v>31</v>
      </c>
      <c r="M54" s="32" t="s">
        <v>32</v>
      </c>
      <c r="N54" s="49">
        <v>46159</v>
      </c>
      <c r="O54" s="53" t="s">
        <v>159</v>
      </c>
      <c r="P54" s="208">
        <v>46146</v>
      </c>
      <c r="Q54" s="58" t="s">
        <v>120</v>
      </c>
    </row>
    <row r="55" spans="1:17" ht="27.6" hidden="1">
      <c r="A55" s="18" t="s">
        <v>160</v>
      </c>
      <c r="B55" s="34"/>
      <c r="C55" s="35"/>
      <c r="D55" s="34"/>
      <c r="E55" s="35"/>
      <c r="F55" s="34"/>
      <c r="G55" s="154" t="s">
        <v>161</v>
      </c>
      <c r="H55" s="34"/>
      <c r="I55" s="16" cm="1">
        <f t="array" ref="I55">SUMPRODUCT((B55:H55&lt;&gt;"")*1+(LEN(B55:H55)-LEN(SUBSTITUTE(B55:H55,",",""))))</f>
        <v>4</v>
      </c>
      <c r="J55" s="32" t="s">
        <v>30</v>
      </c>
      <c r="K55" s="33">
        <v>46146</v>
      </c>
      <c r="L55" s="16" t="s">
        <v>31</v>
      </c>
      <c r="M55" s="32" t="s">
        <v>32</v>
      </c>
      <c r="N55" s="50">
        <v>46159</v>
      </c>
      <c r="O55" s="54" t="s">
        <v>119</v>
      </c>
      <c r="P55" s="209">
        <v>46146</v>
      </c>
      <c r="Q55" s="59" t="s">
        <v>120</v>
      </c>
    </row>
    <row r="56" spans="1:17" hidden="1">
      <c r="A56" s="18" t="s">
        <v>162</v>
      </c>
      <c r="B56" s="34"/>
      <c r="C56" s="35"/>
      <c r="D56" s="34"/>
      <c r="E56" s="35"/>
      <c r="F56" s="34"/>
      <c r="G56" s="154" t="s">
        <v>163</v>
      </c>
      <c r="H56" s="34"/>
      <c r="I56" s="16" cm="1">
        <f t="array" ref="I56">SUMPRODUCT((B56:H56&lt;&gt;"")*1+(LEN(B56:H56)-LEN(SUBSTITUTE(B56:H56,",",""))))</f>
        <v>3</v>
      </c>
      <c r="J56" s="32" t="s">
        <v>30</v>
      </c>
      <c r="K56" s="33">
        <v>46146</v>
      </c>
      <c r="L56" s="16" t="s">
        <v>31</v>
      </c>
      <c r="M56" s="32" t="s">
        <v>32</v>
      </c>
      <c r="N56" s="50">
        <v>46164</v>
      </c>
      <c r="O56" s="54" t="s">
        <v>119</v>
      </c>
      <c r="P56" s="209">
        <v>46146</v>
      </c>
      <c r="Q56" s="59" t="s">
        <v>120</v>
      </c>
    </row>
    <row r="57" spans="1:17" hidden="1">
      <c r="A57" s="15" t="s">
        <v>164</v>
      </c>
      <c r="B57" s="34"/>
      <c r="C57" s="38"/>
      <c r="D57" s="34"/>
      <c r="E57" s="38"/>
      <c r="F57" s="34"/>
      <c r="G57" s="77" t="s">
        <v>165</v>
      </c>
      <c r="H57" s="34"/>
      <c r="I57" s="13" cm="1">
        <f t="array" ref="I57">SUMPRODUCT((B57:H57&lt;&gt;"")*1+(LEN(B57:H57)-LEN(SUBSTITUTE(B57:H57,",",""))))</f>
        <v>2</v>
      </c>
      <c r="J57" s="36" t="s">
        <v>30</v>
      </c>
      <c r="K57" s="37">
        <v>46146</v>
      </c>
      <c r="L57" s="16" t="s">
        <v>31</v>
      </c>
      <c r="M57" s="32" t="s">
        <v>32</v>
      </c>
      <c r="N57" s="49">
        <v>46164</v>
      </c>
      <c r="O57" s="53" t="s">
        <v>119</v>
      </c>
      <c r="P57" s="208">
        <v>46146</v>
      </c>
      <c r="Q57" s="58" t="s">
        <v>120</v>
      </c>
    </row>
    <row r="58" spans="1:17" hidden="1">
      <c r="A58" s="18" t="s">
        <v>166</v>
      </c>
      <c r="B58" s="34"/>
      <c r="C58" s="35"/>
      <c r="D58" s="34"/>
      <c r="E58" s="35"/>
      <c r="F58" s="34"/>
      <c r="G58" s="154" t="s">
        <v>167</v>
      </c>
      <c r="H58" s="34"/>
      <c r="I58" s="16" cm="1">
        <f t="array" ref="I58">SUMPRODUCT((B58:H58&lt;&gt;"")*1+(LEN(B58:H58)-LEN(SUBSTITUTE(B58:H58,",",""))))</f>
        <v>2</v>
      </c>
      <c r="J58" s="32" t="s">
        <v>30</v>
      </c>
      <c r="K58" s="33">
        <v>46146</v>
      </c>
      <c r="L58" s="16" t="s">
        <v>31</v>
      </c>
      <c r="M58" s="32" t="s">
        <v>32</v>
      </c>
      <c r="N58" s="50">
        <v>46164</v>
      </c>
      <c r="O58" s="54" t="s">
        <v>119</v>
      </c>
      <c r="P58" s="209">
        <v>46146</v>
      </c>
      <c r="Q58" s="59" t="s">
        <v>120</v>
      </c>
    </row>
    <row r="59" spans="1:17" hidden="1">
      <c r="A59" s="18" t="s">
        <v>168</v>
      </c>
      <c r="B59" s="34"/>
      <c r="C59" s="35"/>
      <c r="D59" s="34">
        <v>37</v>
      </c>
      <c r="E59" s="35"/>
      <c r="F59" s="34"/>
      <c r="G59" s="35"/>
      <c r="H59" s="34"/>
      <c r="I59" s="15" cm="1">
        <f t="array" ref="I59">SUMPRODUCT((B59:H59&lt;&gt;"")*1+(LEN(B59:H59)-LEN(SUBSTITUTE(B59:H59,",",""))))</f>
        <v>1</v>
      </c>
      <c r="J59" s="15" t="s">
        <v>30</v>
      </c>
      <c r="K59" s="14">
        <v>46148</v>
      </c>
      <c r="L59" s="16" t="s">
        <v>31</v>
      </c>
      <c r="M59" s="13" t="s">
        <v>32</v>
      </c>
      <c r="N59" s="50">
        <v>46164</v>
      </c>
      <c r="O59" s="54"/>
      <c r="P59" s="209">
        <v>46148</v>
      </c>
      <c r="Q59" s="59" t="s">
        <v>169</v>
      </c>
    </row>
    <row r="60" spans="1:17" hidden="1">
      <c r="A60" s="18" t="s">
        <v>170</v>
      </c>
      <c r="B60" s="34"/>
      <c r="C60" s="35"/>
      <c r="D60" s="34">
        <v>33</v>
      </c>
      <c r="E60" s="35"/>
      <c r="F60" s="34"/>
      <c r="G60" s="35"/>
      <c r="H60" s="34"/>
      <c r="I60" s="15" cm="1">
        <f t="array" ref="I60">SUMPRODUCT((B60:H60&lt;&gt;"")*1+(LEN(B60:H60)-LEN(SUBSTITUTE(B60:H60,",",""))))</f>
        <v>1</v>
      </c>
      <c r="J60" s="15" t="s">
        <v>30</v>
      </c>
      <c r="K60" s="14">
        <v>46148</v>
      </c>
      <c r="L60" s="16" t="s">
        <v>31</v>
      </c>
      <c r="M60" s="13" t="s">
        <v>32</v>
      </c>
      <c r="N60" s="50">
        <v>46164</v>
      </c>
      <c r="O60" s="54"/>
      <c r="P60" s="209">
        <v>46148</v>
      </c>
      <c r="Q60" s="59" t="s">
        <v>169</v>
      </c>
    </row>
    <row r="61" spans="1:17" ht="55.15" hidden="1">
      <c r="A61" s="18" t="s">
        <v>171</v>
      </c>
      <c r="B61" s="34"/>
      <c r="C61" s="35"/>
      <c r="D61" s="34"/>
      <c r="E61" s="35"/>
      <c r="F61" s="34"/>
      <c r="G61" s="154" t="s">
        <v>172</v>
      </c>
      <c r="H61" s="34"/>
      <c r="I61" s="32"/>
      <c r="J61" s="16" t="s">
        <v>30</v>
      </c>
      <c r="K61" s="17">
        <v>46149</v>
      </c>
      <c r="L61" s="16" t="s">
        <v>31</v>
      </c>
      <c r="M61" s="16" t="s">
        <v>32</v>
      </c>
      <c r="N61" s="50">
        <v>46165</v>
      </c>
      <c r="O61" s="51" t="s">
        <v>173</v>
      </c>
      <c r="P61" s="209"/>
      <c r="Q61" s="59"/>
    </row>
    <row r="62" spans="1:17" ht="38.25">
      <c r="A62" s="18" t="s">
        <v>174</v>
      </c>
      <c r="B62" s="60"/>
      <c r="C62" s="154"/>
      <c r="D62" s="60"/>
      <c r="E62" s="154"/>
      <c r="F62" s="60"/>
      <c r="G62" s="154"/>
      <c r="H62" s="60" t="s">
        <v>175</v>
      </c>
      <c r="I62" s="16" cm="1">
        <f t="array" ref="I62">SUMPRODUCT((B62:H62&lt;&gt;"")*1+(LEN(B62:H62)-LEN(SUBSTITUTE(B62:H62,",",""))))</f>
        <v>5</v>
      </c>
      <c r="J62" s="16" t="s">
        <v>132</v>
      </c>
      <c r="K62" s="17">
        <v>46211</v>
      </c>
      <c r="L62" s="16" t="s">
        <v>133</v>
      </c>
      <c r="M62" s="16" t="s">
        <v>32</v>
      </c>
      <c r="N62" s="50"/>
      <c r="O62" s="54" t="s">
        <v>176</v>
      </c>
      <c r="P62" s="209">
        <v>46211</v>
      </c>
      <c r="Q62" s="162" t="s">
        <v>45</v>
      </c>
    </row>
    <row r="63" spans="1:17" ht="75.75">
      <c r="A63" s="81" t="s">
        <v>177</v>
      </c>
      <c r="B63" s="244"/>
      <c r="C63" s="246"/>
      <c r="D63" s="244"/>
      <c r="E63" s="246"/>
      <c r="F63" s="244"/>
      <c r="G63" s="246"/>
      <c r="H63" s="244" t="s">
        <v>178</v>
      </c>
      <c r="I63" s="13" cm="1">
        <f t="array" ref="I63">SUMPRODUCT((B63:H63&lt;&gt;"")*1+(LEN(B63:H63)-LEN(SUBSTITUTE(B63:H63,",",""))))</f>
        <v>13</v>
      </c>
      <c r="J63" s="166" t="s">
        <v>132</v>
      </c>
      <c r="K63" s="230">
        <v>46211</v>
      </c>
      <c r="L63" s="16" t="s">
        <v>133</v>
      </c>
      <c r="M63" s="16" t="s">
        <v>32</v>
      </c>
      <c r="N63" s="247"/>
      <c r="O63" s="70" t="s">
        <v>176</v>
      </c>
      <c r="P63" s="208">
        <v>46211</v>
      </c>
      <c r="Q63" s="71" t="s">
        <v>45</v>
      </c>
    </row>
    <row r="64" spans="1:17" ht="15" hidden="1" customHeight="1">
      <c r="A64" s="86" t="s">
        <v>179</v>
      </c>
      <c r="B64" s="194"/>
      <c r="C64" s="196"/>
      <c r="D64" s="194"/>
      <c r="E64" s="196"/>
      <c r="F64" s="194"/>
      <c r="G64" s="196"/>
      <c r="H64" s="194">
        <v>12</v>
      </c>
      <c r="I64" s="196" cm="1">
        <f t="array" ref="I64">SUMPRODUCT((B64:H64&lt;&gt;"")*1+(LEN(B64:H64)-LEN(SUBSTITUTE(B64:H64,",",""))))</f>
        <v>1</v>
      </c>
      <c r="J64" s="196" t="s">
        <v>30</v>
      </c>
      <c r="K64" s="224">
        <v>46153</v>
      </c>
      <c r="L64" s="13" t="s">
        <v>31</v>
      </c>
      <c r="M64" s="13" t="s">
        <v>32</v>
      </c>
      <c r="N64" s="198">
        <v>46165</v>
      </c>
      <c r="O64" s="85" t="s">
        <v>180</v>
      </c>
      <c r="P64" s="218">
        <v>46153</v>
      </c>
      <c r="Q64" s="87" t="s">
        <v>181</v>
      </c>
    </row>
    <row r="65" spans="1:17" ht="15" hidden="1" customHeight="1">
      <c r="A65" s="81" t="s">
        <v>182</v>
      </c>
      <c r="B65" s="194">
        <v>48</v>
      </c>
      <c r="C65" s="228"/>
      <c r="D65" s="194"/>
      <c r="E65" s="228"/>
      <c r="F65" s="194"/>
      <c r="G65" s="228"/>
      <c r="H65" s="194"/>
      <c r="I65" s="166">
        <v>1</v>
      </c>
      <c r="J65" s="229" t="s">
        <v>183</v>
      </c>
      <c r="K65" s="230">
        <v>46146</v>
      </c>
      <c r="L65" s="13" t="s">
        <v>31</v>
      </c>
      <c r="M65" s="16" t="s">
        <v>32</v>
      </c>
      <c r="N65" s="231">
        <v>46184</v>
      </c>
      <c r="O65" s="180"/>
      <c r="P65" s="180"/>
      <c r="Q65" s="232" t="s">
        <v>36</v>
      </c>
    </row>
    <row r="66" spans="1:17" ht="15" hidden="1" customHeight="1">
      <c r="A66" s="81" t="s">
        <v>184</v>
      </c>
      <c r="B66" s="221" t="s">
        <v>185</v>
      </c>
      <c r="C66" s="222"/>
      <c r="D66" s="221"/>
      <c r="E66" s="222"/>
      <c r="F66" s="221"/>
      <c r="G66" s="222"/>
      <c r="H66" s="221"/>
      <c r="I66" s="166" cm="1">
        <f t="array" ref="I66">SUMPRODUCT((B66:H66&lt;&gt;"")*1+(LEN(B66:H66)-LEN(SUBSTITUTE(B66:H66,",",""))))</f>
        <v>2</v>
      </c>
      <c r="J66" s="68" t="s">
        <v>30</v>
      </c>
      <c r="K66" s="69">
        <v>46146</v>
      </c>
      <c r="L66" s="16" t="s">
        <v>31</v>
      </c>
      <c r="M66" s="32" t="s">
        <v>32</v>
      </c>
      <c r="N66" s="225">
        <v>46151</v>
      </c>
      <c r="O66" s="180" t="s">
        <v>186</v>
      </c>
      <c r="P66" s="217">
        <v>46146</v>
      </c>
      <c r="Q66" s="71" t="s">
        <v>45</v>
      </c>
    </row>
    <row r="67" spans="1:17" ht="15" hidden="1" customHeight="1">
      <c r="A67" s="81" t="s">
        <v>187</v>
      </c>
      <c r="B67" s="221"/>
      <c r="C67" s="222"/>
      <c r="D67" s="221"/>
      <c r="E67" s="222"/>
      <c r="F67" s="221"/>
      <c r="G67" s="222"/>
      <c r="H67" s="221" t="s">
        <v>188</v>
      </c>
      <c r="I67" s="166" cm="1">
        <f t="array" ref="I67">SUMPRODUCT((B67:H67&lt;&gt;"")*1+(LEN(B67:H67)-LEN(SUBSTITUTE(B67:H67,",",""))))</f>
        <v>3</v>
      </c>
      <c r="J67" s="68" t="s">
        <v>30</v>
      </c>
      <c r="K67" s="69">
        <v>46146</v>
      </c>
      <c r="L67" s="16" t="s">
        <v>31</v>
      </c>
      <c r="M67" s="32" t="s">
        <v>32</v>
      </c>
      <c r="N67" s="225">
        <v>46151</v>
      </c>
      <c r="O67" s="70"/>
      <c r="P67" s="217">
        <v>46146</v>
      </c>
      <c r="Q67" s="71" t="s">
        <v>60</v>
      </c>
    </row>
    <row r="68" spans="1:17" ht="15" hidden="1" customHeight="1">
      <c r="A68" s="86" t="s">
        <v>189</v>
      </c>
      <c r="B68" s="221"/>
      <c r="C68" s="223"/>
      <c r="D68" s="221"/>
      <c r="E68" s="223"/>
      <c r="F68" s="221"/>
      <c r="G68" s="223"/>
      <c r="H68" s="221" t="s">
        <v>190</v>
      </c>
      <c r="I68" s="165" cm="1">
        <f t="array" ref="I68">SUMPRODUCT((B68:H68&lt;&gt;"")*1+(LEN(B68:H68)-LEN(SUBSTITUTE(B68:H68,",",""))))</f>
        <v>2</v>
      </c>
      <c r="J68" s="83" t="s">
        <v>30</v>
      </c>
      <c r="K68" s="84">
        <v>46146</v>
      </c>
      <c r="L68" s="16" t="s">
        <v>31</v>
      </c>
      <c r="M68" s="32" t="s">
        <v>32</v>
      </c>
      <c r="N68" s="226">
        <v>46151</v>
      </c>
      <c r="O68" s="85"/>
      <c r="P68" s="218">
        <v>46146</v>
      </c>
      <c r="Q68" s="87" t="s">
        <v>60</v>
      </c>
    </row>
    <row r="69" spans="1:17" ht="15" hidden="1" customHeight="1">
      <c r="A69" s="81" t="s">
        <v>191</v>
      </c>
      <c r="B69" s="221"/>
      <c r="C69" s="222"/>
      <c r="D69" s="221"/>
      <c r="E69" s="222"/>
      <c r="F69" s="221"/>
      <c r="G69" s="222"/>
      <c r="H69" s="221" t="s">
        <v>192</v>
      </c>
      <c r="I69" s="166" cm="1">
        <f t="array" ref="I69">SUMPRODUCT((B69:H69&lt;&gt;"")*1+(LEN(B69:H69)-LEN(SUBSTITUTE(B69:H69,",",""))))</f>
        <v>3</v>
      </c>
      <c r="J69" s="68" t="s">
        <v>30</v>
      </c>
      <c r="K69" s="69">
        <v>46146</v>
      </c>
      <c r="L69" s="16" t="s">
        <v>31</v>
      </c>
      <c r="M69" s="32" t="s">
        <v>32</v>
      </c>
      <c r="N69" s="225">
        <v>46151</v>
      </c>
      <c r="O69" s="70"/>
      <c r="P69" s="217">
        <v>46146</v>
      </c>
      <c r="Q69" s="71" t="s">
        <v>60</v>
      </c>
    </row>
    <row r="70" spans="1:17" ht="15" hidden="1" customHeight="1">
      <c r="A70" s="86" t="s">
        <v>193</v>
      </c>
      <c r="B70" s="221"/>
      <c r="C70" s="223"/>
      <c r="D70" s="221"/>
      <c r="E70" s="223"/>
      <c r="F70" s="221"/>
      <c r="G70" s="223"/>
      <c r="H70" s="221" t="s">
        <v>194</v>
      </c>
      <c r="I70" s="165" cm="1">
        <f t="array" ref="I70">SUMPRODUCT((B70:H70&lt;&gt;"")*1+(LEN(B70:H70)-LEN(SUBSTITUTE(B70:H70,",",""))))</f>
        <v>2</v>
      </c>
      <c r="J70" s="83" t="s">
        <v>30</v>
      </c>
      <c r="K70" s="84">
        <v>46146</v>
      </c>
      <c r="L70" s="16" t="s">
        <v>31</v>
      </c>
      <c r="M70" s="32" t="s">
        <v>32</v>
      </c>
      <c r="N70" s="226">
        <v>46151</v>
      </c>
      <c r="O70" s="85"/>
      <c r="P70" s="218">
        <v>46146</v>
      </c>
      <c r="Q70" s="87" t="s">
        <v>60</v>
      </c>
    </row>
    <row r="71" spans="1:17" ht="15" hidden="1" customHeight="1">
      <c r="A71" s="81" t="s">
        <v>195</v>
      </c>
      <c r="B71" s="221"/>
      <c r="C71" s="222"/>
      <c r="D71" s="221"/>
      <c r="E71" s="222"/>
      <c r="F71" s="221"/>
      <c r="G71" s="222"/>
      <c r="H71" s="221" t="s">
        <v>196</v>
      </c>
      <c r="I71" s="166" cm="1">
        <f t="array" ref="I71">SUMPRODUCT((B71:H71&lt;&gt;"")*1+(LEN(B71:H71)-LEN(SUBSTITUTE(B71:H71,",",""))))</f>
        <v>3</v>
      </c>
      <c r="J71" s="68" t="s">
        <v>30</v>
      </c>
      <c r="K71" s="69">
        <v>46146</v>
      </c>
      <c r="L71" s="16" t="s">
        <v>31</v>
      </c>
      <c r="M71" s="32" t="s">
        <v>32</v>
      </c>
      <c r="N71" s="225">
        <v>46151</v>
      </c>
      <c r="O71" s="70"/>
      <c r="P71" s="217">
        <v>46146</v>
      </c>
      <c r="Q71" s="71" t="s">
        <v>60</v>
      </c>
    </row>
    <row r="72" spans="1:17" hidden="1">
      <c r="A72" s="15" t="s">
        <v>197</v>
      </c>
      <c r="B72" s="193"/>
      <c r="C72" s="195"/>
      <c r="D72" s="193"/>
      <c r="E72" s="195"/>
      <c r="F72" s="193"/>
      <c r="G72" s="195"/>
      <c r="H72" s="193" t="s">
        <v>198</v>
      </c>
      <c r="I72" s="165" cm="1">
        <f t="array" ref="I72">SUMPRODUCT((B72:H72&lt;&gt;"")*1+(LEN(B72:H72)-LEN(SUBSTITUTE(B72:H72,",",""))))</f>
        <v>3</v>
      </c>
      <c r="J72" s="68" t="s">
        <v>30</v>
      </c>
      <c r="K72" s="37">
        <v>46146</v>
      </c>
      <c r="L72" s="16" t="s">
        <v>31</v>
      </c>
      <c r="M72" s="32" t="s">
        <v>32</v>
      </c>
      <c r="N72" s="161">
        <v>46151</v>
      </c>
      <c r="O72" s="53"/>
      <c r="P72" s="208">
        <v>46146</v>
      </c>
      <c r="Q72" s="227" t="s">
        <v>60</v>
      </c>
    </row>
    <row r="73" spans="1:17" ht="41.45" hidden="1">
      <c r="A73" s="18" t="s">
        <v>113</v>
      </c>
      <c r="B73" s="34"/>
      <c r="C73" s="35"/>
      <c r="D73" s="34"/>
      <c r="E73" s="35"/>
      <c r="F73" s="34"/>
      <c r="G73" s="35"/>
      <c r="H73" s="60" t="s">
        <v>199</v>
      </c>
      <c r="I73" s="16" cm="1">
        <f t="array" ref="I73">SUMPRODUCT((B73:H73&lt;&gt;"")*1+(LEN(B73:H73)-LEN(SUBSTITUTE(B73:H73,",",""))))</f>
        <v>7</v>
      </c>
      <c r="J73" s="32" t="s">
        <v>30</v>
      </c>
      <c r="K73" s="33">
        <v>46146</v>
      </c>
      <c r="L73" s="16" t="s">
        <v>31</v>
      </c>
      <c r="M73" s="32" t="s">
        <v>32</v>
      </c>
      <c r="N73" s="50">
        <v>46151</v>
      </c>
      <c r="O73" s="54" t="s">
        <v>200</v>
      </c>
      <c r="P73" s="54"/>
      <c r="Q73" s="59" t="s">
        <v>33</v>
      </c>
    </row>
    <row r="74" spans="1:17" ht="27.6" hidden="1">
      <c r="A74" s="18" t="s">
        <v>201</v>
      </c>
      <c r="B74" s="34"/>
      <c r="C74" s="35"/>
      <c r="D74" s="34"/>
      <c r="E74" s="35"/>
      <c r="F74" s="34"/>
      <c r="G74" s="35"/>
      <c r="H74" s="60" t="s">
        <v>202</v>
      </c>
      <c r="I74" s="16" cm="1">
        <f t="array" ref="I74">SUMPRODUCT((B74:H74&lt;&gt;"")*1+(LEN(B74:H74)-LEN(SUBSTITUTE(B74:H74,",",""))))</f>
        <v>5</v>
      </c>
      <c r="J74" s="16" t="s">
        <v>30</v>
      </c>
      <c r="K74" s="17">
        <v>46154</v>
      </c>
      <c r="L74" s="16" t="s">
        <v>31</v>
      </c>
      <c r="M74" s="16" t="s">
        <v>32</v>
      </c>
      <c r="N74" s="50">
        <v>46165</v>
      </c>
      <c r="O74" s="54"/>
      <c r="P74" s="218">
        <v>46161</v>
      </c>
      <c r="Q74" s="59"/>
    </row>
    <row r="75" spans="1:17" ht="96.6" hidden="1">
      <c r="A75" s="18" t="s">
        <v>203</v>
      </c>
      <c r="B75" s="75">
        <v>7</v>
      </c>
      <c r="C75" s="76" t="s">
        <v>204</v>
      </c>
      <c r="D75" s="75" t="s">
        <v>204</v>
      </c>
      <c r="E75" s="76"/>
      <c r="F75" s="75"/>
      <c r="G75" s="76"/>
      <c r="H75" s="75">
        <v>9</v>
      </c>
      <c r="I75" s="16" cm="1">
        <f t="array" ref="I75">SUMPRODUCT((B75:H75&lt;&gt;"")*1+(LEN(B75:H75)-LEN(SUBSTITUTE(B75:H75,",",""))))</f>
        <v>44</v>
      </c>
      <c r="J75" s="16" t="s">
        <v>183</v>
      </c>
      <c r="K75" s="17">
        <v>46150</v>
      </c>
      <c r="L75" s="16" t="s">
        <v>31</v>
      </c>
      <c r="M75" s="16" t="s">
        <v>32</v>
      </c>
      <c r="N75" s="50">
        <v>46181</v>
      </c>
      <c r="O75" s="51" t="s">
        <v>205</v>
      </c>
      <c r="P75" s="218">
        <v>46150</v>
      </c>
      <c r="Q75" s="59" t="s">
        <v>45</v>
      </c>
    </row>
    <row r="76" spans="1:17" hidden="1">
      <c r="A76" s="18" t="s">
        <v>206</v>
      </c>
      <c r="B76" s="34" t="s">
        <v>207</v>
      </c>
      <c r="C76" s="35"/>
      <c r="D76" s="34"/>
      <c r="E76" s="35"/>
      <c r="F76" s="34"/>
      <c r="G76" s="35"/>
      <c r="H76" s="34"/>
      <c r="I76" s="32"/>
      <c r="J76" s="16" t="s">
        <v>183</v>
      </c>
      <c r="K76" s="33">
        <v>46178</v>
      </c>
      <c r="L76" s="16" t="s">
        <v>31</v>
      </c>
      <c r="M76" s="16" t="s">
        <v>32</v>
      </c>
      <c r="N76" s="50">
        <v>46183</v>
      </c>
      <c r="O76" s="54"/>
      <c r="P76" s="218">
        <v>46178</v>
      </c>
      <c r="Q76" s="59" t="s">
        <v>36</v>
      </c>
    </row>
    <row r="77" spans="1:17" ht="27.6" hidden="1">
      <c r="A77" s="18" t="s">
        <v>208</v>
      </c>
      <c r="B77" s="34"/>
      <c r="C77" s="35"/>
      <c r="D77" s="34"/>
      <c r="E77" s="35"/>
      <c r="F77" s="34"/>
      <c r="G77" s="154"/>
      <c r="H77" s="60" t="s">
        <v>209</v>
      </c>
      <c r="I77" s="16" cm="1">
        <f t="array" ref="I77">SUMPRODUCT((B77:H77&lt;&gt;"")*1+(LEN(B77:H77)-LEN(SUBSTITUTE(B77:H77,",",""))))</f>
        <v>6</v>
      </c>
      <c r="J77" s="32" t="s">
        <v>183</v>
      </c>
      <c r="K77" s="33">
        <v>46178</v>
      </c>
      <c r="L77" s="16" t="s">
        <v>31</v>
      </c>
      <c r="M77" s="32" t="s">
        <v>32</v>
      </c>
      <c r="N77" s="50">
        <v>46182</v>
      </c>
      <c r="O77" s="54"/>
      <c r="P77" s="209">
        <v>46178</v>
      </c>
      <c r="Q77" s="59" t="s">
        <v>45</v>
      </c>
    </row>
    <row r="78" spans="1:17" ht="82.9" hidden="1">
      <c r="A78" s="18" t="s">
        <v>210</v>
      </c>
      <c r="B78" s="60"/>
      <c r="C78" s="154" t="s">
        <v>211</v>
      </c>
      <c r="D78" s="60" t="s">
        <v>212</v>
      </c>
      <c r="E78" s="154"/>
      <c r="F78" s="60"/>
      <c r="G78" s="154">
        <v>38</v>
      </c>
      <c r="H78" s="34"/>
      <c r="I78" s="16" cm="1">
        <f t="array" ref="I78">SUMPRODUCT((B78:H78&lt;&gt;"")*1+(LEN(B78:H78)-LEN(SUBSTITUTE(B78:H78,",",""))))</f>
        <v>18</v>
      </c>
      <c r="J78" s="16" t="s">
        <v>30</v>
      </c>
      <c r="K78" s="17">
        <v>46149</v>
      </c>
      <c r="L78" s="16" t="s">
        <v>31</v>
      </c>
      <c r="M78" s="16" t="s">
        <v>32</v>
      </c>
      <c r="N78" s="47">
        <v>46150</v>
      </c>
      <c r="O78" s="51" t="s">
        <v>213</v>
      </c>
      <c r="P78" s="206">
        <v>46149</v>
      </c>
      <c r="Q78" s="59" t="s">
        <v>103</v>
      </c>
    </row>
    <row r="79" spans="1:17" ht="41.45" hidden="1">
      <c r="A79" s="18" t="s">
        <v>214</v>
      </c>
      <c r="B79" s="34"/>
      <c r="C79" s="35"/>
      <c r="D79" s="34"/>
      <c r="E79" s="35"/>
      <c r="F79" s="34"/>
      <c r="G79" s="35"/>
      <c r="H79" s="60" t="s">
        <v>215</v>
      </c>
      <c r="I79" s="16" cm="1">
        <f t="array" ref="I79">SUMPRODUCT((B79:H79&lt;&gt;"")*1+(LEN(B79:H79)-LEN(SUBSTITUTE(B79:H79,",",""))))</f>
        <v>7</v>
      </c>
      <c r="J79" s="32" t="s">
        <v>183</v>
      </c>
      <c r="K79" s="33">
        <v>46178</v>
      </c>
      <c r="L79" s="16" t="s">
        <v>31</v>
      </c>
      <c r="M79" s="32" t="s">
        <v>32</v>
      </c>
      <c r="N79" s="50">
        <v>46185</v>
      </c>
      <c r="O79" s="54" t="s">
        <v>216</v>
      </c>
      <c r="P79" s="209">
        <v>46178</v>
      </c>
      <c r="Q79" s="59" t="s">
        <v>169</v>
      </c>
    </row>
    <row r="80" spans="1:17" ht="27.6" hidden="1">
      <c r="A80" s="18" t="s">
        <v>217</v>
      </c>
      <c r="B80" s="34"/>
      <c r="C80" s="35"/>
      <c r="D80" s="34"/>
      <c r="E80" s="35"/>
      <c r="F80" s="34"/>
      <c r="G80" s="154" t="s">
        <v>218</v>
      </c>
      <c r="H80" s="34"/>
      <c r="I80" s="16" cm="1">
        <f t="array" ref="I80">SUMPRODUCT((B80:H80&lt;&gt;"")*1+(LEN(B80:H80)-LEN(SUBSTITUTE(B80:H80,",",""))))</f>
        <v>4</v>
      </c>
      <c r="J80" s="16" t="s">
        <v>183</v>
      </c>
      <c r="K80" s="17">
        <v>46154</v>
      </c>
      <c r="L80" s="16" t="s">
        <v>31</v>
      </c>
      <c r="M80" s="16" t="s">
        <v>32</v>
      </c>
      <c r="N80" s="50">
        <v>46192</v>
      </c>
      <c r="O80" s="54" t="s">
        <v>219</v>
      </c>
      <c r="P80" s="218">
        <v>46154</v>
      </c>
      <c r="Q80" s="59" t="s">
        <v>33</v>
      </c>
    </row>
    <row r="81" spans="1:17" ht="41.45" hidden="1">
      <c r="A81" s="18" t="s">
        <v>220</v>
      </c>
      <c r="B81" s="34"/>
      <c r="C81" s="76" t="s">
        <v>221</v>
      </c>
      <c r="D81" s="75" t="s">
        <v>221</v>
      </c>
      <c r="E81" s="35"/>
      <c r="F81" s="34"/>
      <c r="G81" s="35"/>
      <c r="H81" s="34"/>
      <c r="I81" s="16" cm="1">
        <f t="array" ref="I81">SUMPRODUCT((B81:H81&lt;&gt;"")*1+(LEN(B81:H81)-LEN(SUBSTITUTE(B81:H81,",",""))))</f>
        <v>8</v>
      </c>
      <c r="J81" s="32" t="s">
        <v>183</v>
      </c>
      <c r="K81" s="33">
        <v>46150</v>
      </c>
      <c r="L81" s="16" t="s">
        <v>31</v>
      </c>
      <c r="M81" s="16" t="s">
        <v>32</v>
      </c>
      <c r="N81" s="50">
        <v>46183</v>
      </c>
      <c r="O81" s="51" t="s">
        <v>222</v>
      </c>
      <c r="P81" s="218">
        <v>46150</v>
      </c>
      <c r="Q81" s="59" t="s">
        <v>110</v>
      </c>
    </row>
    <row r="82" spans="1:17" ht="50.25">
      <c r="A82" s="18" t="s">
        <v>223</v>
      </c>
      <c r="B82" s="60"/>
      <c r="C82" s="154" t="s">
        <v>224</v>
      </c>
      <c r="D82" s="60" t="s">
        <v>224</v>
      </c>
      <c r="E82" s="154"/>
      <c r="F82" s="34"/>
      <c r="G82" s="35"/>
      <c r="H82" s="34"/>
      <c r="I82" s="16" cm="1">
        <f t="array" ref="I82">SUMPRODUCT((B82:H82&lt;&gt;"")*1+(LEN(B82:H82)-LEN(SUBSTITUTE(B82:H82,",",""))))</f>
        <v>24</v>
      </c>
      <c r="J82" s="16" t="s">
        <v>132</v>
      </c>
      <c r="K82" s="17">
        <v>46213</v>
      </c>
      <c r="L82" s="16" t="s">
        <v>133</v>
      </c>
      <c r="M82" s="16" t="s">
        <v>32</v>
      </c>
      <c r="N82" s="50"/>
      <c r="O82" s="54"/>
      <c r="P82" s="209">
        <v>46213</v>
      </c>
      <c r="Q82" s="59" t="s">
        <v>225</v>
      </c>
    </row>
    <row r="83" spans="1:17" ht="25.5">
      <c r="A83" s="18" t="s">
        <v>226</v>
      </c>
      <c r="B83" s="60"/>
      <c r="C83" s="154" t="s">
        <v>227</v>
      </c>
      <c r="D83" s="60"/>
      <c r="E83" s="154"/>
      <c r="F83" s="60"/>
      <c r="G83" s="154"/>
      <c r="H83" s="60"/>
      <c r="I83" s="16" cm="1">
        <f t="array" ref="I83">SUMPRODUCT((B83:H83&lt;&gt;"")*1+(LEN(B83:H83)-LEN(SUBSTITUTE(B83:H83,",",""))))</f>
        <v>5</v>
      </c>
      <c r="J83" s="32" t="s">
        <v>183</v>
      </c>
      <c r="K83" s="33">
        <v>46220</v>
      </c>
      <c r="L83" s="16" t="s">
        <v>228</v>
      </c>
      <c r="M83" s="32" t="s">
        <v>32</v>
      </c>
      <c r="N83" s="50"/>
      <c r="O83" s="54"/>
      <c r="P83" s="206">
        <v>46220</v>
      </c>
      <c r="Q83" s="59" t="s">
        <v>229</v>
      </c>
    </row>
    <row r="84" spans="1:17" ht="38.25">
      <c r="A84" s="18" t="s">
        <v>230</v>
      </c>
      <c r="B84" s="60"/>
      <c r="C84" s="154" t="s">
        <v>231</v>
      </c>
      <c r="D84" s="60"/>
      <c r="E84" s="154"/>
      <c r="F84" s="60"/>
      <c r="G84" s="154"/>
      <c r="H84" s="60"/>
      <c r="I84" s="16" cm="1">
        <f t="array" ref="I84">SUMPRODUCT((B84:H84&lt;&gt;"")*1+(LEN(B84:H84)-LEN(SUBSTITUTE(B84:H84,",",""))))</f>
        <v>8</v>
      </c>
      <c r="J84" s="32" t="s">
        <v>183</v>
      </c>
      <c r="K84" s="33">
        <v>46220</v>
      </c>
      <c r="L84" s="16" t="s">
        <v>228</v>
      </c>
      <c r="M84" s="32" t="s">
        <v>32</v>
      </c>
      <c r="N84" s="50"/>
      <c r="O84" s="54"/>
      <c r="P84" s="206">
        <v>46220</v>
      </c>
      <c r="Q84" s="59" t="s">
        <v>229</v>
      </c>
    </row>
    <row r="85" spans="1:17" ht="25.5">
      <c r="A85" s="18" t="s">
        <v>232</v>
      </c>
      <c r="B85" s="60"/>
      <c r="C85" s="154" t="s">
        <v>233</v>
      </c>
      <c r="D85" s="60"/>
      <c r="E85" s="154"/>
      <c r="F85" s="60"/>
      <c r="G85" s="154"/>
      <c r="H85" s="60"/>
      <c r="I85" s="16" cm="1">
        <f t="array" ref="I85">SUMPRODUCT((B85:H85&lt;&gt;"")*1+(LEN(B85:H85)-LEN(SUBSTITUTE(B85:H85,",",""))))</f>
        <v>6</v>
      </c>
      <c r="J85" s="32" t="s">
        <v>183</v>
      </c>
      <c r="K85" s="33">
        <v>46220</v>
      </c>
      <c r="L85" s="16" t="s">
        <v>228</v>
      </c>
      <c r="M85" s="32" t="s">
        <v>32</v>
      </c>
      <c r="N85" s="50"/>
      <c r="O85" s="54"/>
      <c r="P85" s="206">
        <v>46220</v>
      </c>
      <c r="Q85" s="59" t="s">
        <v>229</v>
      </c>
    </row>
    <row r="86" spans="1:17" ht="27.6" hidden="1">
      <c r="A86" s="18" t="s">
        <v>234</v>
      </c>
      <c r="B86" s="60" t="s">
        <v>235</v>
      </c>
      <c r="C86" s="35"/>
      <c r="D86" s="34"/>
      <c r="E86" s="35"/>
      <c r="F86" s="34"/>
      <c r="G86" s="35"/>
      <c r="H86" s="34"/>
      <c r="I86" s="16" cm="1">
        <f t="array" ref="I86">SUMPRODUCT((B86:H86&lt;&gt;"")*1+(LEN(B86:H86)-LEN(SUBSTITUTE(B86:H86,",",""))))</f>
        <v>4</v>
      </c>
      <c r="J86" s="16" t="s">
        <v>183</v>
      </c>
      <c r="K86" s="33">
        <v>46191</v>
      </c>
      <c r="L86" s="16" t="s">
        <v>31</v>
      </c>
      <c r="M86" s="16" t="s">
        <v>32</v>
      </c>
      <c r="N86" s="50">
        <v>46199</v>
      </c>
      <c r="O86" s="54"/>
      <c r="P86" s="209">
        <v>46191</v>
      </c>
      <c r="Q86" s="59" t="s">
        <v>45</v>
      </c>
    </row>
    <row r="87" spans="1:17" ht="41.45" hidden="1">
      <c r="A87" s="18" t="s">
        <v>236</v>
      </c>
      <c r="B87" s="34"/>
      <c r="C87" s="154" t="s">
        <v>237</v>
      </c>
      <c r="D87" s="34"/>
      <c r="E87" s="35"/>
      <c r="F87" s="34"/>
      <c r="G87" s="35"/>
      <c r="H87" s="34"/>
      <c r="I87" s="16">
        <v>5</v>
      </c>
      <c r="J87" s="18" t="s">
        <v>183</v>
      </c>
      <c r="K87" s="33">
        <v>46198</v>
      </c>
      <c r="L87" s="13" t="s">
        <v>31</v>
      </c>
      <c r="M87" s="16" t="s">
        <v>32</v>
      </c>
      <c r="N87" s="50">
        <v>46202</v>
      </c>
      <c r="O87" s="54"/>
      <c r="P87" s="208">
        <v>46198</v>
      </c>
      <c r="Q87" s="59" t="s">
        <v>169</v>
      </c>
    </row>
    <row r="88" spans="1:17" ht="41.45" hidden="1">
      <c r="A88" s="18" t="s">
        <v>238</v>
      </c>
      <c r="B88" s="34" t="s">
        <v>239</v>
      </c>
      <c r="C88" s="35"/>
      <c r="D88" s="34"/>
      <c r="E88" s="35"/>
      <c r="F88" s="34"/>
      <c r="G88" s="35"/>
      <c r="H88" s="34"/>
      <c r="I88" s="16" cm="1">
        <f t="array" ref="I88">SUMPRODUCT((B88:H88&lt;&gt;"")*1+(LEN(B88:H88)-LEN(SUBSTITUTE(B88:H88,",",""))))</f>
        <v>3</v>
      </c>
      <c r="J88" s="16" t="s">
        <v>183</v>
      </c>
      <c r="K88" s="33">
        <v>46192</v>
      </c>
      <c r="L88" s="16" t="s">
        <v>31</v>
      </c>
      <c r="M88" s="16" t="s">
        <v>32</v>
      </c>
      <c r="N88" s="50">
        <v>46202</v>
      </c>
      <c r="O88" s="51" t="s">
        <v>240</v>
      </c>
      <c r="P88" s="209">
        <v>46192</v>
      </c>
      <c r="Q88" s="59" t="s">
        <v>33</v>
      </c>
    </row>
    <row r="89" spans="1:17" hidden="1">
      <c r="A89" s="18" t="s">
        <v>241</v>
      </c>
      <c r="B89" s="34"/>
      <c r="C89" s="35"/>
      <c r="D89" s="34"/>
      <c r="E89" s="35"/>
      <c r="F89" s="34"/>
      <c r="G89" s="35"/>
      <c r="H89" s="34" t="s">
        <v>242</v>
      </c>
      <c r="I89" s="16">
        <v>6</v>
      </c>
      <c r="J89" s="32" t="s">
        <v>183</v>
      </c>
      <c r="K89" s="33">
        <v>46195</v>
      </c>
      <c r="L89" s="13" t="s">
        <v>31</v>
      </c>
      <c r="M89" s="16" t="s">
        <v>32</v>
      </c>
      <c r="N89" s="50">
        <v>46203</v>
      </c>
      <c r="O89" s="54"/>
      <c r="P89" s="209">
        <v>46195</v>
      </c>
      <c r="Q89" s="59" t="s">
        <v>45</v>
      </c>
    </row>
    <row r="90" spans="1:17" ht="88.5" hidden="1">
      <c r="A90" s="18" t="s">
        <v>243</v>
      </c>
      <c r="B90" s="34"/>
      <c r="C90" s="154" t="s">
        <v>244</v>
      </c>
      <c r="D90" s="60" t="s">
        <v>244</v>
      </c>
      <c r="E90" s="35"/>
      <c r="F90" s="34"/>
      <c r="G90" s="35"/>
      <c r="H90" s="34"/>
      <c r="I90" s="16" cm="1">
        <f t="array" ref="I90">SUMPRODUCT((B90:H90&lt;&gt;"")*1+(LEN(B90:H90)-LEN(SUBSTITUTE(B90:H90,",",""))))</f>
        <v>40</v>
      </c>
      <c r="J90" s="16" t="s">
        <v>183</v>
      </c>
      <c r="K90" s="17">
        <v>46155</v>
      </c>
      <c r="L90" s="16" t="s">
        <v>31</v>
      </c>
      <c r="M90" s="16" t="s">
        <v>32</v>
      </c>
      <c r="N90" s="50"/>
      <c r="O90" s="51" t="s">
        <v>245</v>
      </c>
      <c r="P90" s="209">
        <v>46155</v>
      </c>
      <c r="Q90" s="59" t="s">
        <v>246</v>
      </c>
    </row>
    <row r="91" spans="1:17" hidden="1">
      <c r="A91" s="18" t="s">
        <v>247</v>
      </c>
      <c r="B91" s="34" t="s">
        <v>248</v>
      </c>
      <c r="C91" s="35"/>
      <c r="D91" s="34"/>
      <c r="E91" s="35"/>
      <c r="F91" s="34"/>
      <c r="G91" s="35"/>
      <c r="H91" s="34"/>
      <c r="I91" s="32" cm="1">
        <f t="array" ref="I91">SUMPRODUCT((B91:H91&lt;&gt;"")*1+(LEN(B91:H91)-LEN(SUBSTITUTE(B91:H91,",",""))))</f>
        <v>2</v>
      </c>
      <c r="J91" s="32" t="s">
        <v>132</v>
      </c>
      <c r="K91" s="33">
        <v>46210</v>
      </c>
      <c r="L91" s="16" t="s">
        <v>31</v>
      </c>
      <c r="M91" s="32" t="s">
        <v>32</v>
      </c>
      <c r="N91" s="50">
        <v>46214</v>
      </c>
      <c r="O91" s="54" t="s">
        <v>249</v>
      </c>
      <c r="P91" s="209">
        <v>46210</v>
      </c>
      <c r="Q91" s="59" t="s">
        <v>45</v>
      </c>
    </row>
    <row r="92" spans="1:17" hidden="1">
      <c r="A92" s="18" t="s">
        <v>250</v>
      </c>
      <c r="B92" s="34">
        <v>63</v>
      </c>
      <c r="C92" s="35"/>
      <c r="D92" s="34"/>
      <c r="E92" s="35"/>
      <c r="F92" s="34"/>
      <c r="G92" s="35"/>
      <c r="H92" s="34"/>
      <c r="I92" s="32" cm="1">
        <f t="array" ref="I92">SUMPRODUCT((B92:H92&lt;&gt;"")*1+(LEN(B92:H92)-LEN(SUBSTITUTE(B92:H92,",",""))))</f>
        <v>1</v>
      </c>
      <c r="J92" s="32" t="s">
        <v>132</v>
      </c>
      <c r="K92" s="33">
        <v>46210</v>
      </c>
      <c r="L92" s="16" t="s">
        <v>31</v>
      </c>
      <c r="M92" s="32" t="s">
        <v>32</v>
      </c>
      <c r="N92" s="50">
        <v>46214</v>
      </c>
      <c r="O92" s="54" t="s">
        <v>251</v>
      </c>
      <c r="P92" s="209">
        <v>46210</v>
      </c>
      <c r="Q92" s="59" t="s">
        <v>45</v>
      </c>
    </row>
    <row r="93" spans="1:17" hidden="1">
      <c r="A93" s="18" t="s">
        <v>252</v>
      </c>
      <c r="B93" s="34">
        <v>107</v>
      </c>
      <c r="C93" s="35"/>
      <c r="D93" s="34"/>
      <c r="E93" s="35"/>
      <c r="F93" s="34"/>
      <c r="G93" s="35"/>
      <c r="H93" s="34"/>
      <c r="I93" s="32" cm="1">
        <f t="array" ref="I93">SUMPRODUCT((B93:H93&lt;&gt;"")*1+(LEN(B93:H93)-LEN(SUBSTITUTE(B93:H93,",",""))))</f>
        <v>1</v>
      </c>
      <c r="J93" s="32" t="s">
        <v>132</v>
      </c>
      <c r="K93" s="33">
        <v>46210</v>
      </c>
      <c r="L93" s="16" t="s">
        <v>31</v>
      </c>
      <c r="M93" s="32" t="s">
        <v>32</v>
      </c>
      <c r="N93" s="50">
        <v>46214</v>
      </c>
      <c r="O93" s="54" t="s">
        <v>249</v>
      </c>
      <c r="P93" s="209">
        <v>46210</v>
      </c>
      <c r="Q93" s="59" t="s">
        <v>45</v>
      </c>
    </row>
    <row r="94" spans="1:17" ht="27.6" hidden="1">
      <c r="A94" s="18" t="s">
        <v>253</v>
      </c>
      <c r="B94" s="60"/>
      <c r="C94" s="154" t="s">
        <v>254</v>
      </c>
      <c r="D94" s="60"/>
      <c r="E94" s="154" t="s">
        <v>254</v>
      </c>
      <c r="F94" s="60"/>
      <c r="G94" s="154"/>
      <c r="H94" s="60"/>
      <c r="I94" s="16" cm="1">
        <f t="array" ref="I94">SUMPRODUCT((B94:H94&lt;&gt;"")*1+(LEN(B94:H94)-LEN(SUBSTITUTE(B94:H94,",",""))))</f>
        <v>8</v>
      </c>
      <c r="J94" s="16" t="s">
        <v>132</v>
      </c>
      <c r="K94" s="17">
        <v>46211</v>
      </c>
      <c r="L94" s="16" t="s">
        <v>31</v>
      </c>
      <c r="M94" s="16" t="s">
        <v>32</v>
      </c>
      <c r="N94" s="50">
        <v>46214</v>
      </c>
      <c r="O94" s="51" t="s">
        <v>255</v>
      </c>
      <c r="P94" s="209">
        <v>46211</v>
      </c>
      <c r="Q94" s="59" t="s">
        <v>45</v>
      </c>
    </row>
    <row r="95" spans="1:17" ht="25.5" hidden="1">
      <c r="A95" s="18" t="s">
        <v>256</v>
      </c>
      <c r="B95" s="34"/>
      <c r="C95" s="35"/>
      <c r="D95" s="34"/>
      <c r="E95" s="35"/>
      <c r="F95" s="34"/>
      <c r="G95" s="35"/>
      <c r="H95" s="60" t="s">
        <v>257</v>
      </c>
      <c r="I95" s="16" cm="1">
        <f t="array" ref="I95">SUMPRODUCT((B95:H95&lt;&gt;"")*1+(LEN(B95:H95)-LEN(SUBSTITUTE(B95:H95,",",""))))</f>
        <v>5</v>
      </c>
      <c r="J95" s="32" t="s">
        <v>183</v>
      </c>
      <c r="K95" s="33">
        <v>46195</v>
      </c>
      <c r="L95" s="16" t="s">
        <v>31</v>
      </c>
      <c r="M95" s="16" t="s">
        <v>32</v>
      </c>
      <c r="N95" s="50"/>
      <c r="O95" s="51" t="s">
        <v>258</v>
      </c>
      <c r="P95" s="209">
        <v>46195</v>
      </c>
      <c r="Q95" s="59" t="s">
        <v>45</v>
      </c>
    </row>
    <row r="96" spans="1:17" ht="50.25" hidden="1">
      <c r="A96" s="18" t="s">
        <v>259</v>
      </c>
      <c r="B96" s="34"/>
      <c r="C96" s="35"/>
      <c r="D96" s="34"/>
      <c r="E96" s="35"/>
      <c r="F96" s="34"/>
      <c r="G96" s="35"/>
      <c r="H96" s="34" t="s">
        <v>260</v>
      </c>
      <c r="I96" s="16">
        <v>6</v>
      </c>
      <c r="J96" s="32" t="s">
        <v>183</v>
      </c>
      <c r="K96" s="33">
        <v>46195</v>
      </c>
      <c r="L96" s="16" t="s">
        <v>31</v>
      </c>
      <c r="M96" s="16" t="s">
        <v>32</v>
      </c>
      <c r="N96" s="50"/>
      <c r="O96" s="51" t="s">
        <v>261</v>
      </c>
      <c r="P96" s="209">
        <v>46195</v>
      </c>
      <c r="Q96" s="162" t="s">
        <v>45</v>
      </c>
    </row>
    <row r="97" spans="1:17" ht="15" hidden="1" customHeight="1">
      <c r="A97" s="74" t="s">
        <v>262</v>
      </c>
      <c r="B97" s="156" t="s">
        <v>263</v>
      </c>
      <c r="C97" s="170"/>
      <c r="D97" s="156"/>
      <c r="E97" s="170"/>
      <c r="F97" s="156"/>
      <c r="G97" s="170"/>
      <c r="H97" s="156"/>
      <c r="I97" s="16" cm="1">
        <f t="array" ref="I97">SUMPRODUCT((B97:H97&lt;&gt;"")*1+(LEN(B97:H97)-LEN(SUBSTITUTE(B97:H97,",",""))))</f>
        <v>3</v>
      </c>
      <c r="J97" s="61" t="s">
        <v>132</v>
      </c>
      <c r="K97" s="62">
        <v>46210</v>
      </c>
      <c r="L97" s="16" t="s">
        <v>31</v>
      </c>
      <c r="M97" s="61" t="s">
        <v>32</v>
      </c>
      <c r="N97" s="158">
        <v>46213</v>
      </c>
      <c r="O97" s="54" t="s">
        <v>264</v>
      </c>
      <c r="P97" s="245">
        <v>46210</v>
      </c>
      <c r="Q97" s="67" t="s">
        <v>45</v>
      </c>
    </row>
    <row r="98" spans="1:17" ht="15" hidden="1" customHeight="1">
      <c r="A98" s="74" t="s">
        <v>265</v>
      </c>
      <c r="B98" s="181" t="s">
        <v>266</v>
      </c>
      <c r="C98" s="170"/>
      <c r="D98" s="156"/>
      <c r="E98" s="170"/>
      <c r="F98" s="156"/>
      <c r="G98" s="170"/>
      <c r="H98" s="156"/>
      <c r="I98" s="16" cm="1">
        <f t="array" ref="I98">SUMPRODUCT((B98:H98&lt;&gt;"")*1+(LEN(B98:H98)-LEN(SUBSTITUTE(B98:H98,",",""))))</f>
        <v>3</v>
      </c>
      <c r="J98" s="61" t="s">
        <v>132</v>
      </c>
      <c r="K98" s="62">
        <v>46210</v>
      </c>
      <c r="L98" s="16" t="s">
        <v>31</v>
      </c>
      <c r="M98" s="61" t="s">
        <v>32</v>
      </c>
      <c r="N98" s="158">
        <v>46213</v>
      </c>
      <c r="O98" s="63" t="s">
        <v>264</v>
      </c>
      <c r="P98" s="245">
        <v>46210</v>
      </c>
      <c r="Q98" s="59" t="s">
        <v>45</v>
      </c>
    </row>
    <row r="99" spans="1:17" hidden="1">
      <c r="A99" s="74" t="s">
        <v>267</v>
      </c>
      <c r="B99" s="156">
        <v>33</v>
      </c>
      <c r="C99" s="170"/>
      <c r="D99" s="156"/>
      <c r="E99" s="170"/>
      <c r="F99" s="156"/>
      <c r="G99" s="170"/>
      <c r="H99" s="156"/>
      <c r="I99" s="15" cm="1">
        <f t="array" ref="I99">SUMPRODUCT((B99:H99&lt;&gt;"")*1+(LEN(B99:H99)-LEN(SUBSTITUTE(B99:H99,",",""))))</f>
        <v>1</v>
      </c>
      <c r="J99" s="186" t="s">
        <v>183</v>
      </c>
      <c r="K99" s="187">
        <v>46195</v>
      </c>
      <c r="L99" s="13" t="s">
        <v>31</v>
      </c>
      <c r="M99" s="168" t="s">
        <v>123</v>
      </c>
      <c r="N99" s="188">
        <v>46205</v>
      </c>
      <c r="O99" s="189" t="s">
        <v>268</v>
      </c>
      <c r="P99" s="189"/>
      <c r="Q99" s="190" t="s">
        <v>45</v>
      </c>
    </row>
    <row r="100" spans="1:17" hidden="1">
      <c r="A100" s="74" t="s">
        <v>269</v>
      </c>
      <c r="B100" s="156">
        <v>89</v>
      </c>
      <c r="C100" s="170"/>
      <c r="D100" s="156"/>
      <c r="E100" s="170"/>
      <c r="F100" s="156"/>
      <c r="G100" s="170"/>
      <c r="H100" s="156"/>
      <c r="I100" s="32" cm="1">
        <f t="array" ref="I100">SUMPRODUCT((B100:H100&lt;&gt;"")*1+(LEN(B100:H100)-LEN(SUBSTITUTE(B100:H100,",",""))))</f>
        <v>1</v>
      </c>
      <c r="J100" s="61" t="s">
        <v>132</v>
      </c>
      <c r="K100" s="62">
        <v>46210</v>
      </c>
      <c r="L100" s="16" t="s">
        <v>31</v>
      </c>
      <c r="M100" s="61" t="s">
        <v>32</v>
      </c>
      <c r="N100" s="158">
        <v>46213</v>
      </c>
      <c r="O100" s="63" t="s">
        <v>270</v>
      </c>
      <c r="P100" s="242">
        <v>46210</v>
      </c>
      <c r="Q100" s="59" t="s">
        <v>45</v>
      </c>
    </row>
    <row r="101" spans="1:17" ht="15" hidden="1" customHeight="1">
      <c r="A101" s="73" t="s">
        <v>271</v>
      </c>
      <c r="B101" s="156">
        <v>18</v>
      </c>
      <c r="C101" s="157">
        <v>31</v>
      </c>
      <c r="D101" s="156">
        <v>40</v>
      </c>
      <c r="E101" s="157"/>
      <c r="F101" s="156"/>
      <c r="G101" s="157"/>
      <c r="H101" s="156"/>
      <c r="I101" s="200" cm="1">
        <f t="array" ref="I101">SUMPRODUCT((B101:H101&lt;&gt;"")*1+(LEN(B101:H101)-LEN(SUBSTITUTE(B101:H101,",",""))))</f>
        <v>3</v>
      </c>
      <c r="J101" s="200" t="s">
        <v>30</v>
      </c>
      <c r="K101" s="201">
        <v>46146</v>
      </c>
      <c r="L101" s="13" t="s">
        <v>31</v>
      </c>
      <c r="M101" s="167" t="s">
        <v>123</v>
      </c>
      <c r="N101" s="202">
        <v>46167</v>
      </c>
      <c r="O101" s="203"/>
      <c r="P101" s="203"/>
      <c r="Q101" s="57" t="s">
        <v>246</v>
      </c>
    </row>
    <row r="102" spans="1:17" hidden="1">
      <c r="A102" s="74" t="s">
        <v>272</v>
      </c>
      <c r="B102" s="156" t="s">
        <v>273</v>
      </c>
      <c r="C102" s="170"/>
      <c r="D102" s="156"/>
      <c r="E102" s="170"/>
      <c r="F102" s="156"/>
      <c r="G102" s="170"/>
      <c r="H102" s="156"/>
      <c r="I102" s="168">
        <v>3</v>
      </c>
      <c r="J102" s="186" t="s">
        <v>30</v>
      </c>
      <c r="K102" s="187">
        <v>46097</v>
      </c>
      <c r="L102" s="13" t="s">
        <v>31</v>
      </c>
      <c r="M102" s="168" t="s">
        <v>123</v>
      </c>
      <c r="N102" s="188">
        <v>46143</v>
      </c>
      <c r="O102" s="189" t="s">
        <v>274</v>
      </c>
      <c r="P102" s="189"/>
      <c r="Q102" s="190" t="s">
        <v>36</v>
      </c>
    </row>
    <row r="103" spans="1:17" ht="15" hidden="1" customHeight="1">
      <c r="A103" s="74" t="s">
        <v>275</v>
      </c>
      <c r="B103" s="156">
        <v>1</v>
      </c>
      <c r="C103" s="170"/>
      <c r="D103" s="156">
        <v>5</v>
      </c>
      <c r="E103" s="170">
        <v>13.1</v>
      </c>
      <c r="F103" s="156"/>
      <c r="G103" s="170"/>
      <c r="H103" s="156"/>
      <c r="I103" s="186" cm="1">
        <f t="array" ref="I103">SUMPRODUCT((B103:H103&lt;&gt;"")*1+(LEN(B103:H103)-LEN(SUBSTITUTE(B103:H103,",",""))))</f>
        <v>4</v>
      </c>
      <c r="J103" s="186" t="s">
        <v>30</v>
      </c>
      <c r="K103" s="187">
        <v>46106</v>
      </c>
      <c r="L103" s="13" t="s">
        <v>31</v>
      </c>
      <c r="M103" s="167" t="s">
        <v>123</v>
      </c>
      <c r="N103" s="188">
        <v>46119</v>
      </c>
      <c r="O103" s="189" t="s">
        <v>276</v>
      </c>
      <c r="P103" s="189"/>
      <c r="Q103" s="190" t="s">
        <v>45</v>
      </c>
    </row>
    <row r="104" spans="1:17" ht="41.45" hidden="1">
      <c r="A104" s="74" t="s">
        <v>277</v>
      </c>
      <c r="B104" s="156"/>
      <c r="C104" s="170" t="s">
        <v>278</v>
      </c>
      <c r="D104" s="156"/>
      <c r="E104" s="170">
        <v>16</v>
      </c>
      <c r="F104" s="156"/>
      <c r="G104" s="170"/>
      <c r="H104" s="156"/>
      <c r="I104" s="186" cm="1">
        <f t="array" ref="I104">SUMPRODUCT((B104:H104&lt;&gt;"")*1+(LEN(B104:H104)-LEN(SUBSTITUTE(B104:H104,",",""))))</f>
        <v>4</v>
      </c>
      <c r="J104" s="186" t="s">
        <v>30</v>
      </c>
      <c r="K104" s="187">
        <v>46106</v>
      </c>
      <c r="L104" s="13" t="s">
        <v>31</v>
      </c>
      <c r="M104" s="167" t="s">
        <v>123</v>
      </c>
      <c r="N104" s="188">
        <v>46119</v>
      </c>
      <c r="O104" s="189" t="s">
        <v>279</v>
      </c>
      <c r="P104" s="189"/>
      <c r="Q104" s="190" t="s">
        <v>280</v>
      </c>
    </row>
    <row r="105" spans="1:17" ht="41.45" hidden="1">
      <c r="A105" s="74" t="s">
        <v>281</v>
      </c>
      <c r="B105" s="156">
        <v>29</v>
      </c>
      <c r="C105" s="170" t="s">
        <v>282</v>
      </c>
      <c r="D105" s="156"/>
      <c r="E105" s="170">
        <v>29.38</v>
      </c>
      <c r="F105" s="156"/>
      <c r="G105" s="170"/>
      <c r="H105" s="156">
        <v>38</v>
      </c>
      <c r="I105" s="186" cm="1">
        <f t="array" ref="I105">SUMPRODUCT((B105:H105&lt;&gt;"")*1+(LEN(B105:H105)-LEN(SUBSTITUTE(B105:H105,",",""))))</f>
        <v>7</v>
      </c>
      <c r="J105" s="186" t="s">
        <v>30</v>
      </c>
      <c r="K105" s="187">
        <v>46106</v>
      </c>
      <c r="L105" s="13" t="s">
        <v>31</v>
      </c>
      <c r="M105" s="167" t="s">
        <v>123</v>
      </c>
      <c r="N105" s="188">
        <v>46127</v>
      </c>
      <c r="O105" s="189" t="s">
        <v>283</v>
      </c>
      <c r="P105" s="189"/>
      <c r="Q105" s="190" t="s">
        <v>246</v>
      </c>
    </row>
    <row r="106" spans="1:17" hidden="1">
      <c r="A106" s="74" t="s">
        <v>284</v>
      </c>
      <c r="B106" s="156" t="s">
        <v>285</v>
      </c>
      <c r="C106" s="170"/>
      <c r="D106" s="156"/>
      <c r="E106" s="170"/>
      <c r="F106" s="156"/>
      <c r="G106" s="170"/>
      <c r="H106" s="156"/>
      <c r="I106" s="168" cm="1">
        <f t="array" ref="I106">SUMPRODUCT((B106:H106&lt;&gt;"")*1+(LEN(B106:H106)-LEN(SUBSTITUTE(B106:H106,",",""))))</f>
        <v>3</v>
      </c>
      <c r="J106" s="186" t="s">
        <v>30</v>
      </c>
      <c r="K106" s="187">
        <v>46106</v>
      </c>
      <c r="L106" s="13" t="s">
        <v>31</v>
      </c>
      <c r="M106" s="167" t="s">
        <v>123</v>
      </c>
      <c r="N106" s="188">
        <v>46132</v>
      </c>
      <c r="O106" s="189"/>
      <c r="P106" s="189"/>
      <c r="Q106" s="190" t="s">
        <v>33</v>
      </c>
    </row>
    <row r="107" spans="1:17" hidden="1">
      <c r="A107" s="74" t="s">
        <v>286</v>
      </c>
      <c r="B107" s="156">
        <v>16</v>
      </c>
      <c r="C107" s="170" t="s">
        <v>287</v>
      </c>
      <c r="D107" s="156"/>
      <c r="E107" s="170"/>
      <c r="F107" s="156"/>
      <c r="G107" s="170"/>
      <c r="H107" s="156"/>
      <c r="I107" s="186" cm="1">
        <f t="array" ref="I107">SUMPRODUCT((B107:H107&lt;&gt;"")*1+(LEN(B107:H107)-LEN(SUBSTITUTE(B107:H107,",",""))))</f>
        <v>4</v>
      </c>
      <c r="J107" s="186" t="s">
        <v>30</v>
      </c>
      <c r="K107" s="187">
        <v>46106</v>
      </c>
      <c r="L107" s="13" t="s">
        <v>31</v>
      </c>
      <c r="M107" s="167" t="s">
        <v>123</v>
      </c>
      <c r="N107" s="188">
        <v>46134</v>
      </c>
      <c r="O107" s="189"/>
      <c r="P107" s="51"/>
      <c r="Q107" s="56" t="s">
        <v>45</v>
      </c>
    </row>
    <row r="108" spans="1:17" ht="41.45" hidden="1">
      <c r="A108" s="73" t="s">
        <v>288</v>
      </c>
      <c r="B108" s="191" t="s">
        <v>289</v>
      </c>
      <c r="C108" s="192"/>
      <c r="D108" s="191"/>
      <c r="E108" s="192"/>
      <c r="F108" s="191"/>
      <c r="G108" s="192"/>
      <c r="H108" s="156"/>
      <c r="I108" s="167" cm="1">
        <f t="array" ref="I108">SUMPRODUCT((B108:H108&lt;&gt;"")*1+(LEN(B108:H108)-LEN(SUBSTITUTE(B108:H108,",",""))))</f>
        <v>9</v>
      </c>
      <c r="J108" s="167" t="s">
        <v>30</v>
      </c>
      <c r="K108" s="201">
        <v>46115</v>
      </c>
      <c r="L108" s="16" t="s">
        <v>31</v>
      </c>
      <c r="M108" s="168" t="s">
        <v>123</v>
      </c>
      <c r="N108" s="177">
        <v>46134</v>
      </c>
      <c r="O108" s="66"/>
      <c r="P108" s="66"/>
      <c r="Q108" s="72" t="s">
        <v>45</v>
      </c>
    </row>
    <row r="109" spans="1:17" ht="27.6" hidden="1">
      <c r="A109" s="74" t="s">
        <v>177</v>
      </c>
      <c r="B109" s="191" t="s">
        <v>290</v>
      </c>
      <c r="C109" s="197"/>
      <c r="D109" s="191"/>
      <c r="E109" s="197"/>
      <c r="F109" s="191"/>
      <c r="G109" s="197"/>
      <c r="H109" s="156"/>
      <c r="I109" s="168" cm="1">
        <f t="array" ref="I109">SUMPRODUCT((B109:H109&lt;&gt;"")*1+(LEN(B109:H109)-LEN(SUBSTITUTE(B109:H109,",",""))))</f>
        <v>4</v>
      </c>
      <c r="J109" s="61" t="s">
        <v>30</v>
      </c>
      <c r="K109" s="62">
        <v>46115</v>
      </c>
      <c r="L109" s="13" t="s">
        <v>31</v>
      </c>
      <c r="M109" s="168" t="s">
        <v>123</v>
      </c>
      <c r="N109" s="158">
        <v>46134</v>
      </c>
      <c r="O109" s="63"/>
      <c r="P109" s="54"/>
      <c r="Q109" s="59" t="s">
        <v>45</v>
      </c>
    </row>
    <row r="110" spans="1:17" ht="27.6" hidden="1">
      <c r="A110" s="73" t="s">
        <v>291</v>
      </c>
      <c r="B110" s="191" t="s">
        <v>292</v>
      </c>
      <c r="C110" s="192"/>
      <c r="D110" s="191"/>
      <c r="E110" s="192"/>
      <c r="F110" s="191"/>
      <c r="G110" s="192"/>
      <c r="H110" s="156"/>
      <c r="I110" s="167" cm="1">
        <f t="array" ref="I110">SUMPRODUCT((B110:H110&lt;&gt;"")*1+(LEN(B110:H110)-LEN(SUBSTITUTE(B110:H110,",",""))))</f>
        <v>6</v>
      </c>
      <c r="J110" s="64" t="s">
        <v>30</v>
      </c>
      <c r="K110" s="65">
        <v>46115</v>
      </c>
      <c r="L110" s="13" t="s">
        <v>31</v>
      </c>
      <c r="M110" s="168" t="s">
        <v>123</v>
      </c>
      <c r="N110" s="177">
        <v>46134</v>
      </c>
      <c r="O110" s="66"/>
      <c r="P110" s="66"/>
      <c r="Q110" s="72" t="s">
        <v>45</v>
      </c>
    </row>
    <row r="111" spans="1:17" ht="41.45" hidden="1">
      <c r="A111" s="74" t="s">
        <v>293</v>
      </c>
      <c r="B111" s="181" t="s">
        <v>294</v>
      </c>
      <c r="C111" s="170"/>
      <c r="D111" s="156"/>
      <c r="E111" s="170"/>
      <c r="F111" s="156"/>
      <c r="G111" s="170"/>
      <c r="H111" s="156"/>
      <c r="I111" s="168" cm="1">
        <f t="array" ref="I111">SUMPRODUCT((B111:H111&lt;&gt;"")*1+(LEN(B111:H111)-LEN(SUBSTITUTE(B111:H111,",",""))))</f>
        <v>7</v>
      </c>
      <c r="J111" s="61" t="s">
        <v>30</v>
      </c>
      <c r="K111" s="187">
        <v>46121</v>
      </c>
      <c r="L111" s="13" t="s">
        <v>31</v>
      </c>
      <c r="M111" s="61" t="s">
        <v>123</v>
      </c>
      <c r="N111" s="158">
        <v>46143</v>
      </c>
      <c r="O111" s="63"/>
      <c r="P111" s="63"/>
      <c r="Q111" s="67" t="s">
        <v>45</v>
      </c>
    </row>
    <row r="112" spans="1:17" hidden="1">
      <c r="A112" s="74" t="s">
        <v>295</v>
      </c>
      <c r="B112" s="156"/>
      <c r="C112" s="170"/>
      <c r="D112" s="156"/>
      <c r="E112" s="170"/>
      <c r="F112" s="156"/>
      <c r="G112" s="170" t="s">
        <v>296</v>
      </c>
      <c r="H112" s="156"/>
      <c r="I112" s="168" cm="1">
        <f t="array" ref="I112">SUMPRODUCT((B112:H112&lt;&gt;"")*1+(LEN(B112:H112)-LEN(SUBSTITUTE(B112:H112,",",""))))</f>
        <v>2</v>
      </c>
      <c r="J112" s="61" t="s">
        <v>101</v>
      </c>
      <c r="K112" s="62">
        <v>46128</v>
      </c>
      <c r="L112" s="16" t="s">
        <v>31</v>
      </c>
      <c r="M112" s="167" t="s">
        <v>123</v>
      </c>
      <c r="N112" s="158">
        <v>46129</v>
      </c>
      <c r="O112" s="63" t="s">
        <v>297</v>
      </c>
      <c r="P112" s="220">
        <v>46128</v>
      </c>
      <c r="Q112" s="67"/>
    </row>
    <row r="113" spans="1:17" hidden="1">
      <c r="A113" s="73" t="s">
        <v>298</v>
      </c>
      <c r="B113" s="156"/>
      <c r="C113" s="157"/>
      <c r="D113" s="156"/>
      <c r="E113" s="157"/>
      <c r="F113" s="156"/>
      <c r="G113" s="173" t="s">
        <v>299</v>
      </c>
      <c r="H113" s="156"/>
      <c r="I113" s="167" cm="1">
        <f t="array" ref="I113">SUMPRODUCT((B113:H113&lt;&gt;"")*1+(LEN(B113:H113)-LEN(SUBSTITUTE(B113:H113,",",""))))</f>
        <v>2</v>
      </c>
      <c r="J113" s="64" t="s">
        <v>300</v>
      </c>
      <c r="K113" s="65">
        <v>46129</v>
      </c>
      <c r="L113" s="16" t="s">
        <v>31</v>
      </c>
      <c r="M113" s="167" t="s">
        <v>123</v>
      </c>
      <c r="N113" s="177">
        <v>46129</v>
      </c>
      <c r="O113" s="66"/>
      <c r="P113" s="66"/>
      <c r="Q113" s="72" t="s">
        <v>120</v>
      </c>
    </row>
    <row r="114" spans="1:17" hidden="1">
      <c r="A114" s="73" t="s">
        <v>301</v>
      </c>
      <c r="B114" s="156"/>
      <c r="C114" s="157"/>
      <c r="D114" s="156"/>
      <c r="E114" s="157"/>
      <c r="F114" s="156"/>
      <c r="G114" s="173" t="s">
        <v>302</v>
      </c>
      <c r="H114" s="156"/>
      <c r="I114" s="167" cm="1">
        <f t="array" ref="I114">SUMPRODUCT((B114:H114&lt;&gt;"")*1+(LEN(B114:H114)-LEN(SUBSTITUTE(B114:H114,",",""))))</f>
        <v>2</v>
      </c>
      <c r="J114" s="64" t="s">
        <v>300</v>
      </c>
      <c r="K114" s="65">
        <v>46129</v>
      </c>
      <c r="L114" s="16" t="s">
        <v>31</v>
      </c>
      <c r="M114" s="167" t="s">
        <v>123</v>
      </c>
      <c r="N114" s="177">
        <v>46129</v>
      </c>
      <c r="O114" s="66"/>
      <c r="P114" s="66"/>
      <c r="Q114" s="72" t="s">
        <v>120</v>
      </c>
    </row>
    <row r="115" spans="1:17" hidden="1">
      <c r="A115" s="74" t="s">
        <v>303</v>
      </c>
      <c r="B115" s="156"/>
      <c r="C115" s="170"/>
      <c r="D115" s="156"/>
      <c r="E115" s="170"/>
      <c r="F115" s="156"/>
      <c r="G115" s="172">
        <v>26</v>
      </c>
      <c r="H115" s="156"/>
      <c r="I115" s="168" cm="1">
        <f t="array" ref="I115">SUMPRODUCT((B115:H115&lt;&gt;"")*1+(LEN(B115:H115)-LEN(SUBSTITUTE(B115:H115,",",""))))</f>
        <v>1</v>
      </c>
      <c r="J115" s="61" t="s">
        <v>300</v>
      </c>
      <c r="K115" s="62">
        <v>46129</v>
      </c>
      <c r="L115" s="16" t="s">
        <v>31</v>
      </c>
      <c r="M115" s="167" t="s">
        <v>123</v>
      </c>
      <c r="N115" s="158">
        <v>46129</v>
      </c>
      <c r="O115" s="63"/>
      <c r="P115" s="63"/>
      <c r="Q115" s="67" t="s">
        <v>120</v>
      </c>
    </row>
    <row r="116" spans="1:17" hidden="1">
      <c r="A116" s="73" t="s">
        <v>304</v>
      </c>
      <c r="B116" s="156"/>
      <c r="C116" s="157"/>
      <c r="D116" s="156"/>
      <c r="E116" s="157"/>
      <c r="F116" s="156"/>
      <c r="G116" s="173">
        <v>112</v>
      </c>
      <c r="H116" s="156"/>
      <c r="I116" s="167" cm="1">
        <f t="array" ref="I116">SUMPRODUCT((B116:H116&lt;&gt;"")*1+(LEN(B116:H116)-LEN(SUBSTITUTE(B116:H116,",",""))))</f>
        <v>1</v>
      </c>
      <c r="J116" s="64" t="s">
        <v>300</v>
      </c>
      <c r="K116" s="65">
        <v>46129</v>
      </c>
      <c r="L116" s="16" t="s">
        <v>31</v>
      </c>
      <c r="M116" s="167" t="s">
        <v>123</v>
      </c>
      <c r="N116" s="177">
        <v>46129</v>
      </c>
      <c r="O116" s="66"/>
      <c r="P116" s="66"/>
      <c r="Q116" s="72" t="s">
        <v>120</v>
      </c>
    </row>
    <row r="117" spans="1:17" hidden="1">
      <c r="A117" s="74" t="s">
        <v>305</v>
      </c>
      <c r="B117" s="156"/>
      <c r="C117" s="170"/>
      <c r="D117" s="156"/>
      <c r="E117" s="170"/>
      <c r="F117" s="156"/>
      <c r="G117" s="172">
        <v>36</v>
      </c>
      <c r="H117" s="156"/>
      <c r="I117" s="168" cm="1">
        <f t="array" ref="I117">SUMPRODUCT((B117:H117&lt;&gt;"")*1+(LEN(B117:H117)-LEN(SUBSTITUTE(B117:H117,",",""))))</f>
        <v>1</v>
      </c>
      <c r="J117" s="61" t="s">
        <v>300</v>
      </c>
      <c r="K117" s="62">
        <v>46129</v>
      </c>
      <c r="L117" s="16" t="s">
        <v>31</v>
      </c>
      <c r="M117" s="167" t="s">
        <v>123</v>
      </c>
      <c r="N117" s="158">
        <v>46129</v>
      </c>
      <c r="O117" s="63"/>
      <c r="P117" s="63"/>
      <c r="Q117" s="67" t="s">
        <v>120</v>
      </c>
    </row>
    <row r="118" spans="1:17" hidden="1">
      <c r="A118" s="73" t="s">
        <v>306</v>
      </c>
      <c r="B118" s="156"/>
      <c r="C118" s="157"/>
      <c r="D118" s="156"/>
      <c r="E118" s="157"/>
      <c r="F118" s="156"/>
      <c r="G118" s="173">
        <v>31</v>
      </c>
      <c r="H118" s="156"/>
      <c r="I118" s="167" cm="1">
        <f t="array" ref="I118">SUMPRODUCT((B118:H118&lt;&gt;"")*1+(LEN(B118:H118)-LEN(SUBSTITUTE(B118:H118,",",""))))</f>
        <v>1</v>
      </c>
      <c r="J118" s="64" t="s">
        <v>300</v>
      </c>
      <c r="K118" s="65">
        <v>46129</v>
      </c>
      <c r="L118" s="16" t="s">
        <v>31</v>
      </c>
      <c r="M118" s="167" t="s">
        <v>123</v>
      </c>
      <c r="N118" s="177">
        <v>46129</v>
      </c>
      <c r="O118" s="66"/>
      <c r="P118" s="66"/>
      <c r="Q118" s="72" t="s">
        <v>120</v>
      </c>
    </row>
    <row r="119" spans="1:17" hidden="1">
      <c r="A119" s="74" t="s">
        <v>307</v>
      </c>
      <c r="B119" s="156"/>
      <c r="C119" s="170"/>
      <c r="D119" s="156"/>
      <c r="E119" s="170"/>
      <c r="F119" s="156"/>
      <c r="G119" s="172">
        <v>23</v>
      </c>
      <c r="H119" s="156"/>
      <c r="I119" s="168" cm="1">
        <f t="array" ref="I119">SUMPRODUCT((B119:H119&lt;&gt;"")*1+(LEN(B119:H119)-LEN(SUBSTITUTE(B119:H119,",",""))))</f>
        <v>1</v>
      </c>
      <c r="J119" s="61" t="s">
        <v>300</v>
      </c>
      <c r="K119" s="62">
        <v>46129</v>
      </c>
      <c r="L119" s="16" t="s">
        <v>31</v>
      </c>
      <c r="M119" s="167" t="s">
        <v>123</v>
      </c>
      <c r="N119" s="158">
        <v>46129</v>
      </c>
      <c r="O119" s="63"/>
      <c r="P119" s="63"/>
      <c r="Q119" s="67" t="s">
        <v>120</v>
      </c>
    </row>
    <row r="120" spans="1:17" hidden="1">
      <c r="A120" s="74" t="s">
        <v>308</v>
      </c>
      <c r="B120" s="181"/>
      <c r="C120" s="172"/>
      <c r="D120" s="181"/>
      <c r="E120" s="172"/>
      <c r="F120" s="181"/>
      <c r="G120" s="172">
        <v>8</v>
      </c>
      <c r="H120" s="181"/>
      <c r="I120" s="168" cm="1">
        <f t="array" ref="I120">SUMPRODUCT((B120:H120&lt;&gt;"")*1+(LEN(B120:H120)-LEN(SUBSTITUTE(B120:H120,",",""))))</f>
        <v>1</v>
      </c>
      <c r="J120" s="61" t="s">
        <v>300</v>
      </c>
      <c r="K120" s="62">
        <v>46129</v>
      </c>
      <c r="L120" s="16" t="s">
        <v>31</v>
      </c>
      <c r="M120" s="167" t="s">
        <v>123</v>
      </c>
      <c r="N120" s="158">
        <v>46129</v>
      </c>
      <c r="O120" s="63"/>
      <c r="P120" s="54"/>
      <c r="Q120" s="59" t="s">
        <v>120</v>
      </c>
    </row>
    <row r="121" spans="1:17" hidden="1">
      <c r="A121" s="73" t="s">
        <v>309</v>
      </c>
      <c r="B121" s="156">
        <v>57</v>
      </c>
      <c r="C121" s="157" t="s">
        <v>310</v>
      </c>
      <c r="D121" s="156">
        <v>49</v>
      </c>
      <c r="E121" s="157">
        <v>57.49</v>
      </c>
      <c r="F121" s="156"/>
      <c r="G121" s="157"/>
      <c r="H121" s="156"/>
      <c r="I121" s="200" cm="1">
        <f t="array" ref="I121">SUMPRODUCT((B121:H121&lt;&gt;"")*1+(LEN(B121:H121)-LEN(SUBSTITUTE(B121:H121,",",""))))</f>
        <v>6</v>
      </c>
      <c r="J121" s="200" t="s">
        <v>30</v>
      </c>
      <c r="K121" s="201">
        <v>46146</v>
      </c>
      <c r="L121" s="13" t="s">
        <v>31</v>
      </c>
      <c r="M121" s="167" t="s">
        <v>123</v>
      </c>
      <c r="N121" s="202">
        <v>46167</v>
      </c>
      <c r="O121" s="203"/>
      <c r="P121" s="203"/>
      <c r="Q121" s="204" t="s">
        <v>246</v>
      </c>
    </row>
    <row r="122" spans="1:17" hidden="1">
      <c r="A122" s="81" t="s">
        <v>311</v>
      </c>
      <c r="B122" s="194" t="s">
        <v>312</v>
      </c>
      <c r="C122" s="228"/>
      <c r="D122" s="194"/>
      <c r="E122" s="228"/>
      <c r="F122" s="194"/>
      <c r="G122" s="228"/>
      <c r="H122" s="194"/>
      <c r="I122" s="15" cm="1">
        <f t="array" ref="I122">SUMPRODUCT((B122:H122&lt;&gt;"")*1+(LEN(B122:H122)-LEN(SUBSTITUTE(B122:H122,",",""))))</f>
        <v>2</v>
      </c>
      <c r="J122" s="229" t="s">
        <v>183</v>
      </c>
      <c r="K122" s="230">
        <v>46195</v>
      </c>
      <c r="L122" s="13" t="s">
        <v>31</v>
      </c>
      <c r="M122" s="165" t="s">
        <v>123</v>
      </c>
      <c r="N122" s="231">
        <v>46204</v>
      </c>
      <c r="O122" s="180"/>
      <c r="P122" s="180"/>
      <c r="Q122" s="232" t="s">
        <v>45</v>
      </c>
    </row>
    <row r="123" spans="1:17" ht="96.6" hidden="1">
      <c r="A123" s="18" t="s">
        <v>313</v>
      </c>
      <c r="B123" s="34"/>
      <c r="C123" s="154" t="s">
        <v>314</v>
      </c>
      <c r="D123" s="34"/>
      <c r="E123" s="35"/>
      <c r="F123" s="34"/>
      <c r="G123" s="35"/>
      <c r="H123" s="34"/>
      <c r="I123" s="16" cm="1">
        <f t="array" ref="I123">SUMPRODUCT((B123:H123&lt;&gt;"")*1+(LEN(B123:H123)-LEN(SUBSTITUTE(B123:H123,",",""))))</f>
        <v>22</v>
      </c>
      <c r="J123" s="18" t="s">
        <v>132</v>
      </c>
      <c r="K123" s="17">
        <v>46209</v>
      </c>
      <c r="L123" s="16" t="s">
        <v>31</v>
      </c>
      <c r="M123" s="16" t="s">
        <v>32</v>
      </c>
      <c r="N123" s="50">
        <v>46210</v>
      </c>
      <c r="O123" s="54"/>
      <c r="P123" s="206">
        <v>46209</v>
      </c>
      <c r="Q123" s="243" t="s">
        <v>110</v>
      </c>
    </row>
    <row r="124" spans="1:17" hidden="1">
      <c r="A124" s="18" t="s">
        <v>315</v>
      </c>
      <c r="B124" s="34" t="s">
        <v>316</v>
      </c>
      <c r="C124" s="35"/>
      <c r="D124" s="34"/>
      <c r="E124" s="35"/>
      <c r="F124" s="34"/>
      <c r="G124" s="35"/>
      <c r="H124" s="34"/>
      <c r="I124" s="16" cm="1">
        <f t="array" ref="I124">SUMPRODUCT((B124:H124&lt;&gt;"")*1+(LEN(B124:H124)-LEN(SUBSTITUTE(B124:H124,",",""))))</f>
        <v>3</v>
      </c>
      <c r="J124" s="32" t="s">
        <v>132</v>
      </c>
      <c r="K124" s="33">
        <v>46209</v>
      </c>
      <c r="L124" s="16" t="s">
        <v>31</v>
      </c>
      <c r="M124" s="16" t="s">
        <v>32</v>
      </c>
      <c r="N124" s="50">
        <v>46210</v>
      </c>
      <c r="O124" s="54"/>
      <c r="P124" s="206">
        <v>46209</v>
      </c>
      <c r="Q124" s="59" t="s">
        <v>33</v>
      </c>
    </row>
    <row r="125" spans="1:17" ht="27.6" hidden="1">
      <c r="A125" s="18" t="s">
        <v>317</v>
      </c>
      <c r="B125" s="34"/>
      <c r="C125" s="35"/>
      <c r="D125" s="34"/>
      <c r="E125" s="35"/>
      <c r="F125" s="34"/>
      <c r="G125" s="35"/>
      <c r="H125" s="60" t="s">
        <v>318</v>
      </c>
      <c r="I125" s="32" cm="1">
        <f t="array" ref="I125">SUMPRODUCT((B125:H125&lt;&gt;"")*1+(LEN(B125:H125)-LEN(SUBSTITUTE(B125:H125,",",""))))</f>
        <v>4</v>
      </c>
      <c r="J125" s="16" t="s">
        <v>101</v>
      </c>
      <c r="K125" s="33">
        <v>46213</v>
      </c>
      <c r="L125" s="16" t="s">
        <v>31</v>
      </c>
      <c r="M125" s="16" t="s">
        <v>32</v>
      </c>
      <c r="N125" s="50">
        <v>46213</v>
      </c>
      <c r="O125" s="54"/>
      <c r="P125" s="209">
        <v>46213</v>
      </c>
      <c r="Q125" s="59" t="s">
        <v>33</v>
      </c>
    </row>
    <row r="126" spans="1:17" ht="25.5" hidden="1">
      <c r="A126" s="18" t="s">
        <v>319</v>
      </c>
      <c r="B126" s="34" t="s">
        <v>320</v>
      </c>
      <c r="C126" s="35"/>
      <c r="D126" s="34"/>
      <c r="E126" s="35"/>
      <c r="F126" s="34"/>
      <c r="G126" s="35"/>
      <c r="H126" s="34"/>
      <c r="I126" s="16">
        <v>6</v>
      </c>
      <c r="J126" s="32" t="s">
        <v>183</v>
      </c>
      <c r="K126" s="33">
        <v>46203</v>
      </c>
      <c r="L126" s="16" t="s">
        <v>31</v>
      </c>
      <c r="M126" s="16" t="s">
        <v>32</v>
      </c>
      <c r="N126" s="50">
        <v>46204</v>
      </c>
      <c r="O126" s="51" t="s">
        <v>321</v>
      </c>
      <c r="P126" s="209">
        <v>46203</v>
      </c>
      <c r="Q126" s="59" t="s">
        <v>33</v>
      </c>
    </row>
    <row r="127" spans="1:17" ht="150.75" hidden="1">
      <c r="A127" s="18" t="s">
        <v>322</v>
      </c>
      <c r="B127" s="34"/>
      <c r="C127" s="154" t="s">
        <v>323</v>
      </c>
      <c r="D127" s="34"/>
      <c r="E127" s="35"/>
      <c r="F127" s="34"/>
      <c r="G127" s="35"/>
      <c r="H127" s="34"/>
      <c r="I127" s="16" cm="1">
        <f t="array" ref="I127">SUMPRODUCT((B127:H127&lt;&gt;"")*1+(LEN(B127:H127)-LEN(SUBSTITUTE(B127:H127,",",""))))</f>
        <v>34</v>
      </c>
      <c r="J127" s="18" t="s">
        <v>183</v>
      </c>
      <c r="K127" s="17">
        <v>46205</v>
      </c>
      <c r="L127" s="16" t="s">
        <v>31</v>
      </c>
      <c r="M127" s="16" t="s">
        <v>32</v>
      </c>
      <c r="N127" s="50"/>
      <c r="O127" s="51" t="s">
        <v>324</v>
      </c>
      <c r="P127" s="209">
        <v>46198</v>
      </c>
      <c r="Q127" s="59" t="s">
        <v>110</v>
      </c>
    </row>
    <row r="128" spans="1:17" ht="50.25" hidden="1">
      <c r="A128" s="18" t="s">
        <v>325</v>
      </c>
      <c r="B128" s="34"/>
      <c r="C128" s="154" t="s">
        <v>326</v>
      </c>
      <c r="D128" s="155">
        <v>25</v>
      </c>
      <c r="E128" s="35"/>
      <c r="F128" s="34"/>
      <c r="G128" s="35"/>
      <c r="H128" s="34"/>
      <c r="I128" s="16" cm="1">
        <f t="array" ref="I128">SUMPRODUCT((B128:H128&lt;&gt;"")*1+(LEN(B128:H128)-LEN(SUBSTITUTE(B128:H128,",",""))))</f>
        <v>10</v>
      </c>
      <c r="J128" s="18" t="s">
        <v>183</v>
      </c>
      <c r="K128" s="17">
        <v>46205</v>
      </c>
      <c r="L128" s="16" t="s">
        <v>31</v>
      </c>
      <c r="M128" s="16" t="s">
        <v>32</v>
      </c>
      <c r="N128" s="50"/>
      <c r="O128" s="51" t="s">
        <v>327</v>
      </c>
      <c r="P128" s="209">
        <v>46198</v>
      </c>
      <c r="Q128" s="59" t="s">
        <v>110</v>
      </c>
    </row>
    <row r="129" spans="1:17" ht="15" hidden="1">
      <c r="A129" s="18" t="s">
        <v>328</v>
      </c>
      <c r="B129" s="60"/>
      <c r="C129" s="154" t="s">
        <v>329</v>
      </c>
      <c r="D129" s="60"/>
      <c r="E129" s="154"/>
      <c r="F129" s="60"/>
      <c r="G129" s="154"/>
      <c r="H129" s="60"/>
      <c r="I129" s="16" cm="1">
        <f t="array" ref="I129">SUMPRODUCT((B129:H129&lt;&gt;"")*1+(LEN(B129:H129)-LEN(SUBSTITUTE(B129:H129,",",""))))</f>
        <v>4</v>
      </c>
      <c r="J129" s="32" t="s">
        <v>183</v>
      </c>
      <c r="K129" s="33">
        <v>46220</v>
      </c>
      <c r="L129" s="16" t="s">
        <v>31</v>
      </c>
      <c r="M129" s="32" t="s">
        <v>32</v>
      </c>
      <c r="N129" s="50"/>
      <c r="O129" s="54"/>
      <c r="P129" s="206">
        <v>46220</v>
      </c>
      <c r="Q129" s="59" t="s">
        <v>229</v>
      </c>
    </row>
    <row r="130" spans="1:17" ht="15">
      <c r="A130" s="15" t="s">
        <v>330</v>
      </c>
      <c r="B130" s="34"/>
      <c r="C130" s="38"/>
      <c r="D130" s="34"/>
      <c r="E130" s="38"/>
      <c r="F130" s="34"/>
      <c r="G130" s="38"/>
      <c r="H130" s="34">
        <v>2</v>
      </c>
      <c r="I130" s="13" cm="1">
        <f t="array" ref="I130">SUMPRODUCT((B130:H130&lt;&gt;"")*1+(LEN(B130:H130)-LEN(SUBSTITUTE(B130:H130,",",""))))</f>
        <v>1</v>
      </c>
      <c r="J130" s="36" t="s">
        <v>183</v>
      </c>
      <c r="K130" s="37">
        <v>46119</v>
      </c>
      <c r="L130" s="13" t="s">
        <v>331</v>
      </c>
      <c r="M130" s="16" t="s">
        <v>123</v>
      </c>
      <c r="N130" s="49"/>
      <c r="O130" s="51" t="s">
        <v>332</v>
      </c>
      <c r="P130" s="206"/>
      <c r="Q130" s="58" t="s">
        <v>60</v>
      </c>
    </row>
    <row r="131" spans="1:17" ht="15">
      <c r="A131" s="18" t="s">
        <v>333</v>
      </c>
      <c r="B131" s="34" t="s">
        <v>334</v>
      </c>
      <c r="C131" s="35"/>
      <c r="D131" s="34" t="s">
        <v>335</v>
      </c>
      <c r="E131" s="35"/>
      <c r="F131" s="34"/>
      <c r="G131" s="35"/>
      <c r="H131" s="34"/>
      <c r="I131" s="15" cm="1">
        <f t="array" ref="I131">SUMPRODUCT((B131:H131&lt;&gt;"")*1+(LEN(B131:H131)-LEN(SUBSTITUTE(B131:H131,",",""))))</f>
        <v>5</v>
      </c>
      <c r="J131" s="32" t="s">
        <v>183</v>
      </c>
      <c r="K131" s="33">
        <v>46185</v>
      </c>
      <c r="L131" s="13" t="s">
        <v>133</v>
      </c>
      <c r="M131" s="13" t="s">
        <v>123</v>
      </c>
      <c r="N131" s="50"/>
      <c r="O131" s="54" t="s">
        <v>336</v>
      </c>
      <c r="P131" s="53"/>
      <c r="Q131" s="59" t="s">
        <v>33</v>
      </c>
    </row>
    <row r="132" spans="1:17" hidden="1">
      <c r="A132" s="15" t="s">
        <v>337</v>
      </c>
      <c r="B132" s="60"/>
      <c r="C132" s="77"/>
      <c r="D132" s="60"/>
      <c r="E132" s="77" t="s">
        <v>338</v>
      </c>
      <c r="F132" s="60"/>
      <c r="G132" s="77"/>
      <c r="H132" s="60">
        <v>41</v>
      </c>
      <c r="I132" s="15" cm="1">
        <f t="array" ref="I132">SUMPRODUCT((B132:H132&lt;&gt;"")*1+(LEN(B132:H132)-LEN(SUBSTITUTE(B132:H132,",",""))))</f>
        <v>3</v>
      </c>
      <c r="J132" s="15" t="s">
        <v>132</v>
      </c>
      <c r="K132" s="14">
        <v>46210</v>
      </c>
      <c r="L132" s="16" t="s">
        <v>31</v>
      </c>
      <c r="M132" s="13" t="s">
        <v>339</v>
      </c>
      <c r="N132" s="48"/>
      <c r="O132" s="52" t="s">
        <v>340</v>
      </c>
      <c r="P132" s="52"/>
      <c r="Q132" s="57" t="s">
        <v>246</v>
      </c>
    </row>
    <row r="133" spans="1:17" hidden="1">
      <c r="A133" s="18" t="s">
        <v>341</v>
      </c>
      <c r="B133" s="60"/>
      <c r="C133" s="154"/>
      <c r="D133" s="60"/>
      <c r="E133" s="154" t="s">
        <v>342</v>
      </c>
      <c r="F133" s="60"/>
      <c r="G133" s="154"/>
      <c r="H133" s="60"/>
      <c r="I133" s="18" cm="1">
        <f t="array" ref="I133">SUMPRODUCT((B133:H133&lt;&gt;"")*1+(LEN(B133:H133)-LEN(SUBSTITUTE(B133:H133,",",""))))</f>
        <v>3</v>
      </c>
      <c r="J133" s="18" t="s">
        <v>132</v>
      </c>
      <c r="K133" s="17">
        <v>46210</v>
      </c>
      <c r="L133" s="16" t="s">
        <v>31</v>
      </c>
      <c r="M133" s="13" t="s">
        <v>339</v>
      </c>
      <c r="N133" s="47"/>
      <c r="O133" s="51" t="s">
        <v>340</v>
      </c>
      <c r="P133" s="51"/>
      <c r="Q133" s="56" t="s">
        <v>246</v>
      </c>
    </row>
    <row r="134" spans="1:17" ht="27.6" hidden="1">
      <c r="A134" s="15" t="s">
        <v>343</v>
      </c>
      <c r="B134" s="60"/>
      <c r="C134" s="77"/>
      <c r="D134" s="60"/>
      <c r="E134" s="77" t="s">
        <v>344</v>
      </c>
      <c r="F134" s="60"/>
      <c r="G134" s="77"/>
      <c r="H134" s="60"/>
      <c r="I134" s="15" cm="1">
        <f t="array" ref="I134">SUMPRODUCT((B134:H134&lt;&gt;"")*1+(LEN(B134:H134)-LEN(SUBSTITUTE(B134:H134,",",""))))</f>
        <v>5</v>
      </c>
      <c r="J134" s="15" t="s">
        <v>132</v>
      </c>
      <c r="K134" s="14">
        <v>46210</v>
      </c>
      <c r="L134" s="16" t="s">
        <v>31</v>
      </c>
      <c r="M134" s="13" t="s">
        <v>339</v>
      </c>
      <c r="N134" s="48"/>
      <c r="O134" s="52" t="s">
        <v>340</v>
      </c>
      <c r="P134" s="52"/>
      <c r="Q134" s="57" t="s">
        <v>246</v>
      </c>
    </row>
    <row r="135" spans="1:17" hidden="1">
      <c r="A135" s="18" t="s">
        <v>345</v>
      </c>
      <c r="B135" s="60"/>
      <c r="C135" s="154" t="s">
        <v>346</v>
      </c>
      <c r="D135" s="60"/>
      <c r="E135" s="154">
        <v>23</v>
      </c>
      <c r="F135" s="60"/>
      <c r="G135" s="154"/>
      <c r="H135" s="60"/>
      <c r="I135" s="18" cm="1">
        <f t="array" ref="I135">SUMPRODUCT((B135:H135&lt;&gt;"")*1+(LEN(B135:H135)-LEN(SUBSTITUTE(B135:H135,",",""))))</f>
        <v>3</v>
      </c>
      <c r="J135" s="18" t="s">
        <v>132</v>
      </c>
      <c r="K135" s="17">
        <v>46210</v>
      </c>
      <c r="L135" s="16" t="s">
        <v>31</v>
      </c>
      <c r="M135" s="13" t="s">
        <v>339</v>
      </c>
      <c r="N135" s="47"/>
      <c r="O135" s="52" t="s">
        <v>340</v>
      </c>
      <c r="P135" s="51"/>
      <c r="Q135" s="56" t="s">
        <v>246</v>
      </c>
    </row>
    <row r="136" spans="1:17" ht="27.6" hidden="1">
      <c r="A136" s="15" t="s">
        <v>347</v>
      </c>
      <c r="B136" s="60"/>
      <c r="C136" s="77"/>
      <c r="D136" s="60"/>
      <c r="E136" s="77" t="s">
        <v>348</v>
      </c>
      <c r="F136" s="60"/>
      <c r="G136" s="77"/>
      <c r="H136" s="60"/>
      <c r="I136" s="15" cm="1">
        <f t="array" ref="I136">SUMPRODUCT((B136:H136&lt;&gt;"")*1+(LEN(B136:H136)-LEN(SUBSTITUTE(B136:H136,",",""))))</f>
        <v>5</v>
      </c>
      <c r="J136" s="15" t="s">
        <v>132</v>
      </c>
      <c r="K136" s="14">
        <v>46210</v>
      </c>
      <c r="L136" s="16" t="s">
        <v>31</v>
      </c>
      <c r="M136" s="13" t="s">
        <v>339</v>
      </c>
      <c r="N136" s="48"/>
      <c r="O136" s="52" t="s">
        <v>340</v>
      </c>
      <c r="P136" s="52"/>
      <c r="Q136" s="57" t="s">
        <v>246</v>
      </c>
    </row>
    <row r="137" spans="1:17" ht="27.6" hidden="1">
      <c r="A137" s="15" t="s">
        <v>349</v>
      </c>
      <c r="B137" s="174"/>
      <c r="C137" s="159"/>
      <c r="D137" s="174"/>
      <c r="E137" s="159" t="s">
        <v>350</v>
      </c>
      <c r="F137" s="174"/>
      <c r="G137" s="159"/>
      <c r="H137" s="174"/>
      <c r="I137" s="13" cm="1">
        <f t="array" ref="I137">SUMPRODUCT((B137:H137&lt;&gt;"")*1+(LEN(B137:H137)-LEN(SUBSTITUTE(B137:H137,",",""))))</f>
        <v>5</v>
      </c>
      <c r="J137" s="36" t="s">
        <v>132</v>
      </c>
      <c r="K137" s="37">
        <v>46210</v>
      </c>
      <c r="L137" s="16" t="s">
        <v>31</v>
      </c>
      <c r="M137" s="160" t="s">
        <v>339</v>
      </c>
      <c r="N137" s="161"/>
      <c r="O137" s="52" t="s">
        <v>340</v>
      </c>
      <c r="P137" s="53"/>
      <c r="Q137" s="58" t="s">
        <v>33</v>
      </c>
    </row>
    <row r="138" spans="1:17" ht="50.25" hidden="1">
      <c r="A138" s="15" t="s">
        <v>351</v>
      </c>
      <c r="B138" s="34" t="s">
        <v>352</v>
      </c>
      <c r="C138" s="38"/>
      <c r="D138" s="34"/>
      <c r="E138" s="38"/>
      <c r="F138" s="34"/>
      <c r="G138" s="38"/>
      <c r="H138" s="34"/>
      <c r="I138" s="15" cm="1">
        <f t="array" ref="I138">SUMPRODUCT((B138:H138&lt;&gt;"")*1+(LEN(B138:H138)-LEN(SUBSTITUTE(B138:H138,",",""))))</f>
        <v>3</v>
      </c>
      <c r="J138" s="15" t="s">
        <v>183</v>
      </c>
      <c r="K138" s="14">
        <v>46146</v>
      </c>
      <c r="L138" s="16" t="s">
        <v>31</v>
      </c>
      <c r="M138" s="16" t="s">
        <v>123</v>
      </c>
      <c r="N138" s="48"/>
      <c r="O138" s="52" t="s">
        <v>353</v>
      </c>
      <c r="P138" s="52"/>
      <c r="Q138" s="57" t="s">
        <v>45</v>
      </c>
    </row>
    <row r="139" spans="1:17" ht="25.5" hidden="1">
      <c r="A139" s="15" t="s">
        <v>354</v>
      </c>
      <c r="B139" s="34">
        <v>25</v>
      </c>
      <c r="C139" s="38" t="s">
        <v>355</v>
      </c>
      <c r="D139" s="34"/>
      <c r="E139" s="38">
        <v>1</v>
      </c>
      <c r="F139" s="34"/>
      <c r="G139" s="38"/>
      <c r="H139" s="34"/>
      <c r="I139" s="15" cm="1">
        <f t="array" ref="I139">SUMPRODUCT((B139:H139&lt;&gt;"")*1+(LEN(B139:H139)-LEN(SUBSTITUTE(B139:H139,",",""))))</f>
        <v>5</v>
      </c>
      <c r="J139" s="15" t="s">
        <v>183</v>
      </c>
      <c r="K139" s="14">
        <v>46146</v>
      </c>
      <c r="L139" s="13" t="s">
        <v>356</v>
      </c>
      <c r="M139" s="13" t="s">
        <v>123</v>
      </c>
      <c r="N139" s="48"/>
      <c r="O139" s="52" t="s">
        <v>357</v>
      </c>
      <c r="P139" s="52"/>
      <c r="Q139" s="57" t="s">
        <v>280</v>
      </c>
    </row>
    <row r="140" spans="1:17">
      <c r="A140" s="15" t="s">
        <v>250</v>
      </c>
      <c r="B140" s="34"/>
      <c r="C140" s="38">
        <v>46.51</v>
      </c>
      <c r="D140" s="34">
        <v>49</v>
      </c>
      <c r="E140" s="38">
        <v>2.4900000000000002</v>
      </c>
      <c r="F140" s="34"/>
      <c r="G140" s="38"/>
      <c r="H140" s="34"/>
      <c r="I140" s="15" cm="1">
        <f t="array" ref="I140">SUMPRODUCT((B140:H140&lt;&gt;"")*1+(LEN(B140:H140)-LEN(SUBSTITUTE(B140:H140,",",""))))</f>
        <v>5</v>
      </c>
      <c r="J140" s="15" t="s">
        <v>183</v>
      </c>
      <c r="K140" s="14">
        <v>46146</v>
      </c>
      <c r="L140" s="13" t="s">
        <v>228</v>
      </c>
      <c r="M140" s="13" t="s">
        <v>123</v>
      </c>
      <c r="N140" s="48"/>
      <c r="O140" s="52"/>
      <c r="P140" s="52"/>
      <c r="Q140" s="57" t="s">
        <v>45</v>
      </c>
    </row>
    <row r="141" spans="1:17">
      <c r="A141" s="15" t="s">
        <v>358</v>
      </c>
      <c r="B141" s="34">
        <v>35</v>
      </c>
      <c r="C141" s="38">
        <v>77</v>
      </c>
      <c r="D141" s="34"/>
      <c r="E141" s="38">
        <v>35</v>
      </c>
      <c r="F141" s="34"/>
      <c r="G141" s="38"/>
      <c r="H141" s="34"/>
      <c r="I141" s="15" cm="1">
        <f t="array" ref="I141">SUMPRODUCT((B141:H141&lt;&gt;"")*1+(LEN(B141:H141)-LEN(SUBSTITUTE(B141:H141,",",""))))</f>
        <v>3</v>
      </c>
      <c r="J141" s="15" t="s">
        <v>183</v>
      </c>
      <c r="K141" s="14">
        <v>46146</v>
      </c>
      <c r="L141" s="13" t="s">
        <v>228</v>
      </c>
      <c r="M141" s="13" t="s">
        <v>123</v>
      </c>
      <c r="N141" s="48"/>
      <c r="O141" s="52"/>
      <c r="P141" s="52"/>
      <c r="Q141" s="57" t="s">
        <v>45</v>
      </c>
    </row>
    <row r="142" spans="1:17">
      <c r="A142" s="18" t="s">
        <v>359</v>
      </c>
      <c r="B142" s="60"/>
      <c r="C142" s="154">
        <v>2</v>
      </c>
      <c r="D142" s="60"/>
      <c r="E142" s="154" t="s">
        <v>360</v>
      </c>
      <c r="F142" s="60" t="s">
        <v>361</v>
      </c>
      <c r="G142" s="154"/>
      <c r="H142" s="60"/>
      <c r="I142" s="15" cm="1">
        <f t="array" ref="I142">SUMPRODUCT((B142:H142&lt;&gt;"")*1+(LEN(B142:H142)-LEN(SUBSTITUTE(B142:H142,",",""))))</f>
        <v>5</v>
      </c>
      <c r="J142" s="32" t="s">
        <v>183</v>
      </c>
      <c r="K142" s="33"/>
      <c r="L142" s="16" t="s">
        <v>133</v>
      </c>
      <c r="M142" s="16" t="s">
        <v>339</v>
      </c>
      <c r="N142" s="50"/>
      <c r="O142" s="54"/>
      <c r="P142" s="54"/>
      <c r="Q142" s="59" t="s">
        <v>362</v>
      </c>
    </row>
    <row r="143" spans="1:17">
      <c r="A143" s="15" t="s">
        <v>317</v>
      </c>
      <c r="B143" s="60"/>
      <c r="C143" s="77"/>
      <c r="D143" s="60" t="s">
        <v>363</v>
      </c>
      <c r="E143" s="77" t="s">
        <v>364</v>
      </c>
      <c r="F143" s="60"/>
      <c r="G143" s="77"/>
      <c r="H143" s="60"/>
      <c r="I143" s="15" cm="1">
        <f t="array" ref="I143">SUMPRODUCT((B143:H143&lt;&gt;"")*1+(LEN(B143:H143)-LEN(SUBSTITUTE(B143:H143,",",""))))</f>
        <v>5</v>
      </c>
      <c r="J143" s="15" t="s">
        <v>183</v>
      </c>
      <c r="K143" s="14"/>
      <c r="L143" s="16" t="s">
        <v>133</v>
      </c>
      <c r="M143" s="13" t="s">
        <v>339</v>
      </c>
      <c r="N143" s="48"/>
      <c r="O143" s="52"/>
      <c r="P143" s="52"/>
      <c r="Q143" s="57" t="s">
        <v>33</v>
      </c>
    </row>
    <row r="144" spans="1:17" ht="27.6">
      <c r="A144" s="18" t="s">
        <v>365</v>
      </c>
      <c r="B144" s="60" t="s">
        <v>366</v>
      </c>
      <c r="C144" s="154"/>
      <c r="D144" s="60">
        <v>30</v>
      </c>
      <c r="E144" s="154"/>
      <c r="F144" s="60"/>
      <c r="G144" s="154"/>
      <c r="H144" s="60"/>
      <c r="I144" s="16" cm="1">
        <f t="array" ref="I144">SUMPRODUCT((B144:H144&lt;&gt;"")*1+(LEN(B144:H144)-LEN(SUBSTITUTE(B144:H144,",",""))))</f>
        <v>5</v>
      </c>
      <c r="J144" s="18" t="s">
        <v>183</v>
      </c>
      <c r="K144" s="17"/>
      <c r="L144" s="16" t="s">
        <v>133</v>
      </c>
      <c r="M144" s="16" t="s">
        <v>339</v>
      </c>
      <c r="N144" s="47"/>
      <c r="O144" s="51"/>
      <c r="P144" s="51"/>
      <c r="Q144" s="56" t="s">
        <v>33</v>
      </c>
    </row>
    <row r="145" spans="1:17">
      <c r="A145" s="15" t="s">
        <v>367</v>
      </c>
      <c r="B145" s="60">
        <v>30</v>
      </c>
      <c r="C145" s="77"/>
      <c r="D145" s="60"/>
      <c r="E145" s="77"/>
      <c r="F145" s="60"/>
      <c r="G145" s="77"/>
      <c r="H145" s="60">
        <v>32</v>
      </c>
      <c r="I145" s="13" cm="1">
        <f t="array" ref="I145">SUMPRODUCT((B145:H145&lt;&gt;"")*1+(LEN(B145:H145)-LEN(SUBSTITUTE(B145:H145,",",""))))</f>
        <v>2</v>
      </c>
      <c r="J145" s="15" t="s">
        <v>183</v>
      </c>
      <c r="K145" s="14"/>
      <c r="L145" s="16" t="s">
        <v>133</v>
      </c>
      <c r="M145" s="13" t="s">
        <v>339</v>
      </c>
      <c r="N145" s="48"/>
      <c r="O145" s="52"/>
      <c r="P145" s="52"/>
      <c r="Q145" s="57" t="s">
        <v>368</v>
      </c>
    </row>
    <row r="146" spans="1:17">
      <c r="A146" s="15" t="s">
        <v>369</v>
      </c>
      <c r="B146" s="60"/>
      <c r="C146" s="77"/>
      <c r="D146" s="60"/>
      <c r="E146" s="77">
        <v>1</v>
      </c>
      <c r="F146" s="60"/>
      <c r="G146" s="77"/>
      <c r="H146" s="60" t="s">
        <v>370</v>
      </c>
      <c r="I146" s="13" cm="1">
        <f t="array" ref="I146">SUMPRODUCT((B146:H146&lt;&gt;"")*1+(LEN(B146:H146)-LEN(SUBSTITUTE(B146:H146,",",""))))</f>
        <v>3</v>
      </c>
      <c r="J146" s="15" t="s">
        <v>183</v>
      </c>
      <c r="K146" s="14"/>
      <c r="L146" s="16" t="s">
        <v>133</v>
      </c>
      <c r="M146" s="16" t="s">
        <v>339</v>
      </c>
      <c r="N146" s="47"/>
      <c r="O146" s="51"/>
      <c r="P146" s="51"/>
      <c r="Q146" s="56" t="s">
        <v>368</v>
      </c>
    </row>
    <row r="147" spans="1:17">
      <c r="A147" s="18" t="s">
        <v>371</v>
      </c>
      <c r="B147" s="60"/>
      <c r="C147" s="154" t="s">
        <v>372</v>
      </c>
      <c r="D147" s="60">
        <v>10</v>
      </c>
      <c r="E147" s="154"/>
      <c r="F147" s="60"/>
      <c r="G147" s="154"/>
      <c r="H147" s="60"/>
      <c r="I147" s="16" cm="1">
        <f t="array" ref="I147">SUMPRODUCT((B147:H147&lt;&gt;"")*1+(LEN(B147:H147)-LEN(SUBSTITUTE(B147:H147,",",""))))</f>
        <v>4</v>
      </c>
      <c r="J147" s="18" t="s">
        <v>183</v>
      </c>
      <c r="K147" s="17"/>
      <c r="L147" s="16" t="s">
        <v>133</v>
      </c>
      <c r="M147" s="13" t="s">
        <v>339</v>
      </c>
      <c r="N147" s="48"/>
      <c r="O147" s="52"/>
      <c r="P147" s="52"/>
      <c r="Q147" s="57" t="s">
        <v>368</v>
      </c>
    </row>
    <row r="148" spans="1:17">
      <c r="A148" s="15" t="s">
        <v>373</v>
      </c>
      <c r="B148" s="60"/>
      <c r="C148" s="77" t="s">
        <v>374</v>
      </c>
      <c r="D148" s="60">
        <v>4</v>
      </c>
      <c r="E148" s="77"/>
      <c r="F148" s="60"/>
      <c r="G148" s="77"/>
      <c r="H148" s="60"/>
      <c r="I148" s="13" cm="1">
        <f t="array" ref="I148">SUMPRODUCT((B148:H148&lt;&gt;"")*1+(LEN(B148:H148)-LEN(SUBSTITUTE(B148:H148,",",""))))</f>
        <v>4</v>
      </c>
      <c r="J148" s="36" t="s">
        <v>183</v>
      </c>
      <c r="K148" s="37"/>
      <c r="L148" s="16" t="s">
        <v>133</v>
      </c>
      <c r="M148" s="32" t="s">
        <v>339</v>
      </c>
      <c r="N148" s="50"/>
      <c r="O148" s="54"/>
      <c r="P148" s="54"/>
      <c r="Q148" s="59" t="s">
        <v>368</v>
      </c>
    </row>
    <row r="149" spans="1:17">
      <c r="A149" s="18" t="s">
        <v>375</v>
      </c>
      <c r="B149" s="174"/>
      <c r="C149" s="171" t="s">
        <v>376</v>
      </c>
      <c r="D149" s="174">
        <v>45</v>
      </c>
      <c r="E149" s="171"/>
      <c r="F149" s="174"/>
      <c r="G149" s="171"/>
      <c r="H149" s="174"/>
      <c r="I149" s="16" cm="1">
        <f t="array" ref="I149">SUMPRODUCT((B149:H149&lt;&gt;"")*1+(LEN(B149:H149)-LEN(SUBSTITUTE(B149:H149,",",""))))</f>
        <v>3</v>
      </c>
      <c r="J149" s="32" t="s">
        <v>183</v>
      </c>
      <c r="K149" s="33"/>
      <c r="L149" s="16" t="s">
        <v>133</v>
      </c>
      <c r="M149" s="160" t="s">
        <v>339</v>
      </c>
      <c r="N149" s="176"/>
      <c r="O149" s="54"/>
      <c r="P149" s="54"/>
      <c r="Q149" s="59" t="s">
        <v>33</v>
      </c>
    </row>
    <row r="150" spans="1:17">
      <c r="A150" s="15" t="s">
        <v>377</v>
      </c>
      <c r="B150" s="174"/>
      <c r="C150" s="159" t="s">
        <v>378</v>
      </c>
      <c r="D150" s="174" t="s">
        <v>379</v>
      </c>
      <c r="E150" s="159"/>
      <c r="F150" s="174"/>
      <c r="G150" s="159"/>
      <c r="H150" s="174"/>
      <c r="I150" s="13" cm="1">
        <f t="array" ref="I150">SUMPRODUCT((B150:H150&lt;&gt;"")*1+(LEN(B150:H150)-LEN(SUBSTITUTE(B150:H150,",",""))))</f>
        <v>5</v>
      </c>
      <c r="J150" s="36" t="s">
        <v>183</v>
      </c>
      <c r="K150" s="37"/>
      <c r="L150" s="16" t="s">
        <v>133</v>
      </c>
      <c r="M150" s="160" t="s">
        <v>339</v>
      </c>
      <c r="N150" s="161"/>
      <c r="O150" s="53"/>
      <c r="P150" s="53"/>
      <c r="Q150" s="58" t="s">
        <v>33</v>
      </c>
    </row>
    <row r="151" spans="1:17" ht="27.6">
      <c r="A151" s="18" t="s">
        <v>380</v>
      </c>
      <c r="B151" s="174"/>
      <c r="C151" s="171">
        <v>32</v>
      </c>
      <c r="D151" s="174"/>
      <c r="E151" s="171"/>
      <c r="F151" s="174"/>
      <c r="G151" s="171"/>
      <c r="H151" s="174" t="s">
        <v>381</v>
      </c>
      <c r="I151" s="16" cm="1">
        <f t="array" ref="I151">SUMPRODUCT((B151:H151&lt;&gt;"")*1+(LEN(B151:H151)-LEN(SUBSTITUTE(B151:H151,",",""))))</f>
        <v>5</v>
      </c>
      <c r="J151" s="32" t="s">
        <v>183</v>
      </c>
      <c r="K151" s="33"/>
      <c r="L151" s="16" t="s">
        <v>133</v>
      </c>
      <c r="M151" s="160" t="s">
        <v>339</v>
      </c>
      <c r="N151" s="176"/>
      <c r="O151" s="54"/>
      <c r="P151" s="54"/>
      <c r="Q151" s="59" t="s">
        <v>33</v>
      </c>
    </row>
    <row r="152" spans="1:17">
      <c r="A152" s="15" t="s">
        <v>382</v>
      </c>
      <c r="B152" s="174"/>
      <c r="C152" s="159" t="s">
        <v>383</v>
      </c>
      <c r="D152" s="174"/>
      <c r="E152" s="159"/>
      <c r="F152" s="174"/>
      <c r="G152" s="159"/>
      <c r="H152" s="174" t="s">
        <v>384</v>
      </c>
      <c r="I152" s="13" cm="1">
        <f t="array" ref="I152">SUMPRODUCT((B152:H152&lt;&gt;"")*1+(LEN(B152:H152)-LEN(SUBSTITUTE(B152:H152,",",""))))</f>
        <v>5</v>
      </c>
      <c r="J152" s="15" t="s">
        <v>183</v>
      </c>
      <c r="K152" s="14"/>
      <c r="L152" s="16" t="s">
        <v>133</v>
      </c>
      <c r="M152" s="175" t="s">
        <v>339</v>
      </c>
      <c r="N152" s="179"/>
      <c r="O152" s="52"/>
      <c r="P152" s="52"/>
      <c r="Q152" s="57" t="s">
        <v>33</v>
      </c>
    </row>
    <row r="153" spans="1:17" ht="27.6">
      <c r="A153" s="18" t="s">
        <v>385</v>
      </c>
      <c r="B153" s="174"/>
      <c r="C153" s="171"/>
      <c r="D153" s="174"/>
      <c r="E153" s="171"/>
      <c r="F153" s="174"/>
      <c r="G153" s="171"/>
      <c r="H153" s="174" t="s">
        <v>386</v>
      </c>
      <c r="I153" s="16" cm="1">
        <f t="array" ref="I153">SUMPRODUCT((B153:H153&lt;&gt;"")*1+(LEN(B153:H153)-LEN(SUBSTITUTE(B153:H153,",",""))))</f>
        <v>5</v>
      </c>
      <c r="J153" s="18" t="s">
        <v>183</v>
      </c>
      <c r="K153" s="17"/>
      <c r="L153" s="16" t="s">
        <v>133</v>
      </c>
      <c r="M153" s="175" t="s">
        <v>339</v>
      </c>
      <c r="N153" s="178"/>
      <c r="O153" s="51"/>
      <c r="P153" s="51"/>
      <c r="Q153" s="56" t="s">
        <v>33</v>
      </c>
    </row>
    <row r="154" spans="1:17">
      <c r="A154" s="15" t="s">
        <v>387</v>
      </c>
      <c r="B154" s="174"/>
      <c r="C154" s="159">
        <v>4</v>
      </c>
      <c r="D154" s="174" t="s">
        <v>388</v>
      </c>
      <c r="E154" s="159"/>
      <c r="F154" s="174"/>
      <c r="G154" s="159"/>
      <c r="H154" s="174"/>
      <c r="I154" s="13" cm="1">
        <f t="array" ref="I154">SUMPRODUCT((B154:H154&lt;&gt;"")*1+(LEN(B154:H154)-LEN(SUBSTITUTE(B154:H154,",",""))))</f>
        <v>3</v>
      </c>
      <c r="J154" s="36" t="s">
        <v>183</v>
      </c>
      <c r="K154" s="37"/>
      <c r="L154" s="16" t="s">
        <v>133</v>
      </c>
      <c r="M154" s="160" t="s">
        <v>339</v>
      </c>
      <c r="N154" s="161"/>
      <c r="O154" s="53"/>
      <c r="P154" s="53"/>
      <c r="Q154" s="58" t="s">
        <v>368</v>
      </c>
    </row>
    <row r="155" spans="1:17">
      <c r="A155" s="18" t="s">
        <v>389</v>
      </c>
      <c r="B155" s="174"/>
      <c r="C155" s="171">
        <v>13</v>
      </c>
      <c r="D155" s="174" t="s">
        <v>390</v>
      </c>
      <c r="E155" s="171"/>
      <c r="F155" s="174"/>
      <c r="G155" s="171"/>
      <c r="H155" s="174"/>
      <c r="I155" s="16" cm="1">
        <f t="array" ref="I155">SUMPRODUCT((B155:H155&lt;&gt;"")*1+(LEN(B155:H155)-LEN(SUBSTITUTE(B155:H155,",",""))))</f>
        <v>3</v>
      </c>
      <c r="J155" s="32" t="s">
        <v>183</v>
      </c>
      <c r="K155" s="33"/>
      <c r="L155" s="16" t="s">
        <v>133</v>
      </c>
      <c r="M155" s="160" t="s">
        <v>339</v>
      </c>
      <c r="N155" s="176"/>
      <c r="O155" s="54"/>
      <c r="P155" s="54"/>
      <c r="Q155" s="59" t="s">
        <v>368</v>
      </c>
    </row>
    <row r="156" spans="1:17">
      <c r="A156" s="15" t="s">
        <v>391</v>
      </c>
      <c r="B156" s="174"/>
      <c r="C156" s="159" t="s">
        <v>392</v>
      </c>
      <c r="D156" s="174" t="s">
        <v>393</v>
      </c>
      <c r="E156" s="159"/>
      <c r="F156" s="174"/>
      <c r="G156" s="159"/>
      <c r="H156" s="174"/>
      <c r="I156" s="13" cm="1">
        <f t="array" ref="I156">SUMPRODUCT((B156:H156&lt;&gt;"")*1+(LEN(B156:H156)-LEN(SUBSTITUTE(B156:H156,",",""))))</f>
        <v>4</v>
      </c>
      <c r="J156" s="36" t="s">
        <v>183</v>
      </c>
      <c r="K156" s="37"/>
      <c r="L156" s="16" t="s">
        <v>133</v>
      </c>
      <c r="M156" s="160" t="s">
        <v>339</v>
      </c>
      <c r="N156" s="161"/>
      <c r="O156" s="53"/>
      <c r="P156" s="53"/>
      <c r="Q156" s="58" t="s">
        <v>368</v>
      </c>
    </row>
    <row r="157" spans="1:17">
      <c r="A157" s="18" t="s">
        <v>394</v>
      </c>
      <c r="B157" s="174"/>
      <c r="C157" s="171"/>
      <c r="D157" s="174" t="s">
        <v>395</v>
      </c>
      <c r="E157" s="171"/>
      <c r="F157" s="174"/>
      <c r="G157" s="171"/>
      <c r="H157" s="174"/>
      <c r="I157" s="16" cm="1">
        <f t="array" ref="I157">SUMPRODUCT((B157:H157&lt;&gt;"")*1+(LEN(B157:H157)-LEN(SUBSTITUTE(B157:H157,",",""))))</f>
        <v>2</v>
      </c>
      <c r="J157" s="32" t="s">
        <v>183</v>
      </c>
      <c r="K157" s="33"/>
      <c r="L157" s="16" t="s">
        <v>133</v>
      </c>
      <c r="M157" s="160" t="s">
        <v>339</v>
      </c>
      <c r="N157" s="176"/>
      <c r="O157" s="54"/>
      <c r="P157" s="54"/>
      <c r="Q157" s="59" t="s">
        <v>368</v>
      </c>
    </row>
    <row r="158" spans="1:17">
      <c r="A158" s="15" t="s">
        <v>396</v>
      </c>
      <c r="B158" s="174" t="s">
        <v>397</v>
      </c>
      <c r="C158" s="159"/>
      <c r="D158" s="174" t="s">
        <v>398</v>
      </c>
      <c r="E158" s="159"/>
      <c r="F158" s="174"/>
      <c r="G158" s="159"/>
      <c r="H158" s="174"/>
      <c r="I158" s="13" cm="1">
        <f t="array" ref="I158">SUMPRODUCT((B158:H158&lt;&gt;"")*1+(LEN(B158:H158)-LEN(SUBSTITUTE(B158:H158,",",""))))</f>
        <v>4</v>
      </c>
      <c r="J158" s="36" t="s">
        <v>183</v>
      </c>
      <c r="K158" s="37"/>
      <c r="L158" s="16" t="s">
        <v>133</v>
      </c>
      <c r="M158" s="160" t="s">
        <v>339</v>
      </c>
      <c r="N158" s="161"/>
      <c r="O158" s="53"/>
      <c r="P158" s="53"/>
      <c r="Q158" s="58" t="s">
        <v>33</v>
      </c>
    </row>
    <row r="159" spans="1:17">
      <c r="A159" s="18" t="s">
        <v>399</v>
      </c>
      <c r="B159" s="174" t="s">
        <v>400</v>
      </c>
      <c r="C159" s="171"/>
      <c r="D159" s="174"/>
      <c r="E159" s="171"/>
      <c r="F159" s="174"/>
      <c r="G159" s="171"/>
      <c r="H159" s="174"/>
      <c r="I159" s="16" cm="1">
        <f t="array" ref="I159">SUMPRODUCT((B159:H159&lt;&gt;"")*1+(LEN(B159:H159)-LEN(SUBSTITUTE(B159:H159,",",""))))</f>
        <v>2</v>
      </c>
      <c r="J159" s="32" t="s">
        <v>183</v>
      </c>
      <c r="K159" s="33"/>
      <c r="L159" s="16" t="s">
        <v>133</v>
      </c>
      <c r="M159" s="160" t="s">
        <v>339</v>
      </c>
      <c r="N159" s="176"/>
      <c r="O159" s="54"/>
      <c r="P159" s="54"/>
      <c r="Q159" s="59" t="s">
        <v>33</v>
      </c>
    </row>
    <row r="160" spans="1:17">
      <c r="A160" s="18" t="s">
        <v>401</v>
      </c>
      <c r="B160" s="174"/>
      <c r="C160" s="171">
        <v>38</v>
      </c>
      <c r="D160" s="174"/>
      <c r="E160" s="171"/>
      <c r="F160" s="174"/>
      <c r="G160" s="171"/>
      <c r="H160" s="174" t="s">
        <v>402</v>
      </c>
      <c r="I160" s="16" cm="1">
        <f t="array" ref="I160">SUMPRODUCT((B160:H160&lt;&gt;"")*1+(LEN(B160:H160)-LEN(SUBSTITUTE(B160:H160,",",""))))</f>
        <v>3</v>
      </c>
      <c r="J160" s="32" t="s">
        <v>183</v>
      </c>
      <c r="K160" s="33"/>
      <c r="L160" s="16" t="s">
        <v>133</v>
      </c>
      <c r="M160" s="160" t="s">
        <v>339</v>
      </c>
      <c r="N160" s="176"/>
      <c r="O160" s="54"/>
      <c r="P160" s="54"/>
      <c r="Q160" s="59" t="s">
        <v>33</v>
      </c>
    </row>
    <row r="161" spans="1:17">
      <c r="A161" s="15" t="s">
        <v>403</v>
      </c>
      <c r="B161" s="174"/>
      <c r="C161" s="159"/>
      <c r="D161" s="174"/>
      <c r="E161" s="159"/>
      <c r="F161" s="174"/>
      <c r="G161" s="159"/>
      <c r="H161" s="174" t="s">
        <v>404</v>
      </c>
      <c r="I161" s="13" cm="1">
        <f t="array" ref="I161">SUMPRODUCT((B161:H161&lt;&gt;"")*1+(LEN(B161:H161)-LEN(SUBSTITUTE(B161:H161,",",""))))</f>
        <v>2</v>
      </c>
      <c r="J161" s="36" t="s">
        <v>183</v>
      </c>
      <c r="K161" s="37"/>
      <c r="L161" s="16" t="s">
        <v>133</v>
      </c>
      <c r="M161" s="160" t="s">
        <v>339</v>
      </c>
      <c r="N161" s="161"/>
      <c r="O161" s="53"/>
      <c r="P161" s="53"/>
      <c r="Q161" s="58" t="s">
        <v>33</v>
      </c>
    </row>
    <row r="162" spans="1:17">
      <c r="A162" s="18" t="s">
        <v>405</v>
      </c>
      <c r="B162" s="174"/>
      <c r="C162" s="171"/>
      <c r="D162" s="174"/>
      <c r="E162" s="171"/>
      <c r="F162" s="174"/>
      <c r="G162" s="171"/>
      <c r="H162" s="174" t="s">
        <v>406</v>
      </c>
      <c r="I162" s="16" cm="1">
        <f t="array" ref="I162">SUMPRODUCT((B162:H162&lt;&gt;"")*1+(LEN(B162:H162)-LEN(SUBSTITUTE(B162:H162,",",""))))</f>
        <v>3</v>
      </c>
      <c r="J162" s="32" t="s">
        <v>183</v>
      </c>
      <c r="K162" s="33"/>
      <c r="L162" s="16" t="s">
        <v>133</v>
      </c>
      <c r="M162" s="160" t="s">
        <v>339</v>
      </c>
      <c r="N162" s="176"/>
      <c r="O162" s="54"/>
      <c r="P162" s="54"/>
      <c r="Q162" s="59" t="s">
        <v>33</v>
      </c>
    </row>
    <row r="163" spans="1:17">
      <c r="A163" s="15" t="s">
        <v>407</v>
      </c>
      <c r="B163" s="174"/>
      <c r="C163" s="159">
        <v>30</v>
      </c>
      <c r="D163" s="174"/>
      <c r="E163" s="159" t="s">
        <v>408</v>
      </c>
      <c r="F163" s="174"/>
      <c r="G163" s="159"/>
      <c r="H163" s="174">
        <v>29</v>
      </c>
      <c r="I163" s="13" cm="1">
        <f t="array" ref="I163">SUMPRODUCT((B163:H163&lt;&gt;"")*1+(LEN(B163:H163)-LEN(SUBSTITUTE(B163:H163,",",""))))</f>
        <v>4</v>
      </c>
      <c r="J163" s="36" t="s">
        <v>183</v>
      </c>
      <c r="K163" s="37"/>
      <c r="L163" s="16" t="s">
        <v>133</v>
      </c>
      <c r="M163" s="160" t="s">
        <v>339</v>
      </c>
      <c r="N163" s="161"/>
      <c r="O163" s="53"/>
      <c r="P163" s="53"/>
      <c r="Q163" s="58" t="s">
        <v>33</v>
      </c>
    </row>
    <row r="164" spans="1:17">
      <c r="A164" s="18" t="s">
        <v>409</v>
      </c>
      <c r="B164" s="174"/>
      <c r="C164" s="171" t="s">
        <v>410</v>
      </c>
      <c r="D164" s="174"/>
      <c r="E164" s="171" t="s">
        <v>408</v>
      </c>
      <c r="F164" s="174"/>
      <c r="G164" s="171"/>
      <c r="H164" s="174"/>
      <c r="I164" s="16" cm="1">
        <f t="array" ref="I164">SUMPRODUCT((B164:H164&lt;&gt;"")*1+(LEN(B164:H164)-LEN(SUBSTITUTE(B164:H164,",",""))))</f>
        <v>4</v>
      </c>
      <c r="J164" s="32" t="s">
        <v>183</v>
      </c>
      <c r="K164" s="33"/>
      <c r="L164" s="16" t="s">
        <v>133</v>
      </c>
      <c r="M164" s="160" t="s">
        <v>339</v>
      </c>
      <c r="N164" s="176"/>
      <c r="O164" s="54"/>
      <c r="P164" s="54"/>
      <c r="Q164" s="59" t="s">
        <v>33</v>
      </c>
    </row>
    <row r="165" spans="1:17">
      <c r="A165" s="15" t="s">
        <v>411</v>
      </c>
      <c r="B165" s="174"/>
      <c r="C165" s="159"/>
      <c r="D165" s="174"/>
      <c r="E165" s="159" t="s">
        <v>190</v>
      </c>
      <c r="F165" s="174"/>
      <c r="G165" s="159"/>
      <c r="H165" s="174" t="s">
        <v>412</v>
      </c>
      <c r="I165" s="13" cm="1">
        <f t="array" ref="I165">SUMPRODUCT((B165:H165&lt;&gt;"")*1+(LEN(B165:H165)-LEN(SUBSTITUTE(B165:H165,",",""))))</f>
        <v>5</v>
      </c>
      <c r="J165" s="36" t="s">
        <v>183</v>
      </c>
      <c r="K165" s="37"/>
      <c r="L165" s="16" t="s">
        <v>133</v>
      </c>
      <c r="M165" s="160" t="s">
        <v>339</v>
      </c>
      <c r="N165" s="161"/>
      <c r="O165" s="53"/>
      <c r="P165" s="53"/>
      <c r="Q165" s="58" t="s">
        <v>33</v>
      </c>
    </row>
    <row r="166" spans="1:17" ht="27.6">
      <c r="A166" s="18" t="s">
        <v>413</v>
      </c>
      <c r="B166" s="174"/>
      <c r="C166" s="171"/>
      <c r="D166" s="174"/>
      <c r="E166" s="171" t="s">
        <v>414</v>
      </c>
      <c r="F166" s="174"/>
      <c r="G166" s="171"/>
      <c r="H166" s="174"/>
      <c r="I166" s="16" cm="1">
        <f t="array" ref="I166">SUMPRODUCT((B166:H166&lt;&gt;"")*1+(LEN(B166:H166)-LEN(SUBSTITUTE(B166:H166,",",""))))</f>
        <v>5</v>
      </c>
      <c r="J166" s="32" t="s">
        <v>183</v>
      </c>
      <c r="K166" s="33"/>
      <c r="L166" s="16" t="s">
        <v>133</v>
      </c>
      <c r="M166" s="160" t="s">
        <v>339</v>
      </c>
      <c r="N166" s="176"/>
      <c r="O166" s="54"/>
      <c r="P166" s="54"/>
      <c r="Q166" s="59" t="s">
        <v>33</v>
      </c>
    </row>
    <row r="167" spans="1:17" ht="15">
      <c r="A167" s="18" t="s">
        <v>415</v>
      </c>
      <c r="B167" s="60"/>
      <c r="C167" s="154"/>
      <c r="D167" s="60"/>
      <c r="E167" s="154">
        <v>47</v>
      </c>
      <c r="F167" s="60"/>
      <c r="G167" s="154"/>
      <c r="H167" s="60" t="s">
        <v>400</v>
      </c>
      <c r="I167" s="18" cm="1">
        <f t="array" ref="I167">SUMPRODUCT((B167:H167&lt;&gt;"")*1+(LEN(B167:H167)-LEN(SUBSTITUTE(B167:H167,",",""))))</f>
        <v>3</v>
      </c>
      <c r="J167" s="18"/>
      <c r="K167" s="17"/>
      <c r="L167" s="16" t="s">
        <v>133</v>
      </c>
      <c r="M167" s="13" t="s">
        <v>339</v>
      </c>
      <c r="N167" s="47"/>
      <c r="O167" s="51"/>
      <c r="P167" s="51"/>
      <c r="Q167" s="56" t="s">
        <v>181</v>
      </c>
    </row>
    <row r="168" spans="1:17" ht="15">
      <c r="A168" s="15" t="s">
        <v>416</v>
      </c>
      <c r="B168" s="60"/>
      <c r="C168" s="77" t="s">
        <v>417</v>
      </c>
      <c r="D168" s="60"/>
      <c r="E168" s="77"/>
      <c r="F168" s="60"/>
      <c r="G168" s="77"/>
      <c r="H168" s="60"/>
      <c r="I168" s="15" cm="1">
        <f t="array" ref="I168">SUMPRODUCT((B168:H168&lt;&gt;"")*1+(LEN(B168:H168)-LEN(SUBSTITUTE(B168:H168,",",""))))</f>
        <v>2</v>
      </c>
      <c r="J168" s="15"/>
      <c r="K168" s="14"/>
      <c r="L168" s="16" t="s">
        <v>133</v>
      </c>
      <c r="M168" s="13" t="s">
        <v>339</v>
      </c>
      <c r="N168" s="48"/>
      <c r="O168" s="52"/>
      <c r="P168" s="52"/>
      <c r="Q168" s="57" t="s">
        <v>280</v>
      </c>
    </row>
    <row r="169" spans="1:17" ht="15">
      <c r="A169" s="18" t="s">
        <v>418</v>
      </c>
      <c r="B169" s="60"/>
      <c r="C169" s="154">
        <v>31</v>
      </c>
      <c r="D169" s="60"/>
      <c r="E169" s="154"/>
      <c r="F169" s="60"/>
      <c r="G169" s="154"/>
      <c r="H169" s="60"/>
      <c r="I169" s="18" cm="1">
        <f t="array" ref="I169">SUMPRODUCT((B169:H169&lt;&gt;"")*1+(LEN(B169:H169)-LEN(SUBSTITUTE(B169:H169,",",""))))</f>
        <v>1</v>
      </c>
      <c r="J169" s="18"/>
      <c r="K169" s="17"/>
      <c r="L169" s="16" t="s">
        <v>133</v>
      </c>
      <c r="M169" s="13" t="s">
        <v>339</v>
      </c>
      <c r="N169" s="47"/>
      <c r="O169" s="51"/>
      <c r="P169" s="51"/>
      <c r="Q169" s="56" t="s">
        <v>280</v>
      </c>
    </row>
    <row r="170" spans="1:17" ht="15">
      <c r="A170" s="15" t="s">
        <v>419</v>
      </c>
      <c r="B170" s="60"/>
      <c r="C170" s="77">
        <v>8</v>
      </c>
      <c r="D170" s="60"/>
      <c r="E170" s="77"/>
      <c r="F170" s="60"/>
      <c r="G170" s="77"/>
      <c r="H170" s="60" t="s">
        <v>420</v>
      </c>
      <c r="I170" s="15" cm="1">
        <f t="array" ref="I170">SUMPRODUCT((B170:H170&lt;&gt;"")*1+(LEN(B170:H170)-LEN(SUBSTITUTE(B170:H170,",",""))))</f>
        <v>3</v>
      </c>
      <c r="J170" s="15"/>
      <c r="K170" s="14"/>
      <c r="L170" s="16" t="s">
        <v>133</v>
      </c>
      <c r="M170" s="13" t="s">
        <v>339</v>
      </c>
      <c r="N170" s="48"/>
      <c r="O170" s="52"/>
      <c r="P170" s="52"/>
      <c r="Q170" s="57" t="s">
        <v>280</v>
      </c>
    </row>
    <row r="171" spans="1:17" ht="25.5">
      <c r="A171" s="18" t="s">
        <v>421</v>
      </c>
      <c r="B171" s="60"/>
      <c r="C171" s="154"/>
      <c r="D171" s="60"/>
      <c r="E171" s="76">
        <v>87</v>
      </c>
      <c r="F171" s="60"/>
      <c r="G171" s="154"/>
      <c r="H171" s="60" t="s">
        <v>422</v>
      </c>
      <c r="I171" s="18" cm="1">
        <f t="array" ref="I171">SUMPRODUCT((B171:H171&lt;&gt;"")*1+(LEN(B171:H171)-LEN(SUBSTITUTE(B171:H171,",",""))))</f>
        <v>5</v>
      </c>
      <c r="J171" s="18"/>
      <c r="K171" s="17"/>
      <c r="L171" s="16" t="s">
        <v>133</v>
      </c>
      <c r="M171" s="13" t="s">
        <v>339</v>
      </c>
      <c r="N171" s="47"/>
      <c r="O171" s="51"/>
      <c r="P171" s="51"/>
      <c r="Q171" s="56" t="s">
        <v>45</v>
      </c>
    </row>
    <row r="172" spans="1:17" ht="15">
      <c r="A172" s="15" t="s">
        <v>423</v>
      </c>
      <c r="B172" s="60"/>
      <c r="C172" s="77"/>
      <c r="D172" s="60">
        <v>15</v>
      </c>
      <c r="E172" s="77"/>
      <c r="F172" s="60"/>
      <c r="G172" s="77"/>
      <c r="H172" s="60"/>
      <c r="I172" s="15" cm="1">
        <f t="array" ref="I172">SUMPRODUCT((B172:H172&lt;&gt;"")*1+(LEN(B172:H172)-LEN(SUBSTITUTE(B172:H172,",",""))))</f>
        <v>1</v>
      </c>
      <c r="J172" s="15"/>
      <c r="K172" s="14"/>
      <c r="L172" s="16" t="s">
        <v>133</v>
      </c>
      <c r="M172" s="13" t="s">
        <v>339</v>
      </c>
      <c r="N172" s="48"/>
      <c r="O172" s="52"/>
      <c r="P172" s="52"/>
      <c r="Q172" s="57" t="s">
        <v>280</v>
      </c>
    </row>
    <row r="173" spans="1:17" ht="25.5">
      <c r="A173" s="18" t="s">
        <v>424</v>
      </c>
      <c r="B173" s="60"/>
      <c r="C173" s="154" t="s">
        <v>425</v>
      </c>
      <c r="D173" s="60"/>
      <c r="E173" s="154"/>
      <c r="F173" s="60"/>
      <c r="G173" s="154"/>
      <c r="H173" s="60"/>
      <c r="I173" s="18" cm="1">
        <f t="array" ref="I173">SUMPRODUCT((B173:H173&lt;&gt;"")*1+(LEN(B173:H173)-LEN(SUBSTITUTE(B173:H173,",",""))))</f>
        <v>5</v>
      </c>
      <c r="J173" s="18"/>
      <c r="K173" s="17"/>
      <c r="L173" s="16" t="s">
        <v>133</v>
      </c>
      <c r="M173" s="13" t="s">
        <v>339</v>
      </c>
      <c r="N173" s="47"/>
      <c r="O173" s="51"/>
      <c r="P173" s="51"/>
      <c r="Q173" s="56" t="s">
        <v>181</v>
      </c>
    </row>
    <row r="174" spans="1:17" ht="15">
      <c r="A174" s="15" t="s">
        <v>426</v>
      </c>
      <c r="B174" s="60"/>
      <c r="C174" s="77"/>
      <c r="D174" s="60" t="s">
        <v>427</v>
      </c>
      <c r="E174" s="77"/>
      <c r="F174" s="60"/>
      <c r="G174" s="77"/>
      <c r="H174" s="60"/>
      <c r="I174" s="15" cm="1">
        <f t="array" ref="I174">SUMPRODUCT((B174:H174&lt;&gt;"")*1+(LEN(B174:H174)-LEN(SUBSTITUTE(B174:H174,",",""))))</f>
        <v>3</v>
      </c>
      <c r="J174" s="15"/>
      <c r="K174" s="14"/>
      <c r="L174" s="16" t="s">
        <v>133</v>
      </c>
      <c r="M174" s="13" t="s">
        <v>339</v>
      </c>
      <c r="N174" s="48"/>
      <c r="O174" s="52"/>
      <c r="P174" s="52"/>
      <c r="Q174" s="57" t="s">
        <v>181</v>
      </c>
    </row>
    <row r="175" spans="1:17" ht="15">
      <c r="A175" s="18" t="s">
        <v>428</v>
      </c>
      <c r="B175" s="60"/>
      <c r="C175" s="154"/>
      <c r="D175" s="60">
        <v>14</v>
      </c>
      <c r="E175" s="154" t="s">
        <v>429</v>
      </c>
      <c r="F175" s="60"/>
      <c r="G175" s="154"/>
      <c r="H175" s="60"/>
      <c r="I175" s="16" cm="1">
        <f t="array" ref="I175">SUMPRODUCT((B175:H175&lt;&gt;"")*1+(LEN(B175:H175)-LEN(SUBSTITUTE(B175:H175,",",""))))</f>
        <v>3</v>
      </c>
      <c r="J175" s="32"/>
      <c r="K175" s="33"/>
      <c r="L175" s="16" t="s">
        <v>133</v>
      </c>
      <c r="M175" s="13" t="s">
        <v>339</v>
      </c>
      <c r="N175" s="50"/>
      <c r="O175" s="54"/>
      <c r="P175" s="54"/>
      <c r="Q175" s="59" t="s">
        <v>181</v>
      </c>
    </row>
    <row r="176" spans="1:17" ht="15">
      <c r="A176" s="15" t="s">
        <v>430</v>
      </c>
      <c r="B176" s="60">
        <v>19</v>
      </c>
      <c r="C176" s="77" t="s">
        <v>431</v>
      </c>
      <c r="D176" s="60"/>
      <c r="E176" s="77"/>
      <c r="F176" s="60"/>
      <c r="G176" s="77"/>
      <c r="H176" s="60"/>
      <c r="I176" s="13" cm="1">
        <f t="array" ref="I176">SUMPRODUCT((B176:H176&lt;&gt;"")*1+(LEN(B176:H176)-LEN(SUBSTITUTE(B176:H176,",",""))))</f>
        <v>4</v>
      </c>
      <c r="J176" s="36"/>
      <c r="K176" s="37"/>
      <c r="L176" s="16" t="s">
        <v>133</v>
      </c>
      <c r="M176" s="13" t="s">
        <v>339</v>
      </c>
      <c r="N176" s="49"/>
      <c r="O176" s="53"/>
      <c r="P176" s="53"/>
      <c r="Q176" s="58" t="s">
        <v>45</v>
      </c>
    </row>
    <row r="177" spans="1:17" ht="15">
      <c r="A177" s="18" t="s">
        <v>432</v>
      </c>
      <c r="B177" s="60"/>
      <c r="C177" s="154"/>
      <c r="D177" s="60">
        <v>44</v>
      </c>
      <c r="E177" s="154"/>
      <c r="F177" s="60"/>
      <c r="G177" s="154"/>
      <c r="H177" s="60"/>
      <c r="I177" s="16" cm="1">
        <f t="array" ref="I177">SUMPRODUCT((B177:H177&lt;&gt;"")*1+(LEN(B177:H177)-LEN(SUBSTITUTE(B177:H177,",",""))))</f>
        <v>1</v>
      </c>
      <c r="J177" s="32"/>
      <c r="K177" s="33"/>
      <c r="L177" s="16" t="s">
        <v>133</v>
      </c>
      <c r="M177" s="13" t="s">
        <v>339</v>
      </c>
      <c r="N177" s="50"/>
      <c r="O177" s="54"/>
      <c r="P177" s="54"/>
      <c r="Q177" s="59" t="s">
        <v>45</v>
      </c>
    </row>
    <row r="178" spans="1:17" ht="15">
      <c r="A178" s="15" t="s">
        <v>433</v>
      </c>
      <c r="B178" s="60"/>
      <c r="C178" s="77"/>
      <c r="D178" s="60"/>
      <c r="E178" s="77"/>
      <c r="F178" s="60"/>
      <c r="G178" s="77"/>
      <c r="H178" s="60"/>
      <c r="I178" s="13" cm="1">
        <f t="array" ref="I178">SUMPRODUCT((B178:H178&lt;&gt;"")*1+(LEN(B178:H178)-LEN(SUBSTITUTE(B178:H178,",",""))))</f>
        <v>0</v>
      </c>
      <c r="J178" s="36"/>
      <c r="K178" s="37"/>
      <c r="L178" s="16" t="s">
        <v>133</v>
      </c>
      <c r="M178" s="13" t="s">
        <v>339</v>
      </c>
      <c r="N178" s="49"/>
      <c r="O178" s="53"/>
      <c r="P178" s="53"/>
      <c r="Q178" s="58" t="s">
        <v>280</v>
      </c>
    </row>
    <row r="179" spans="1:17" ht="15">
      <c r="A179" s="18" t="s">
        <v>434</v>
      </c>
      <c r="B179" s="60"/>
      <c r="C179" s="154"/>
      <c r="D179" s="60"/>
      <c r="E179" s="154">
        <v>57</v>
      </c>
      <c r="F179" s="60"/>
      <c r="G179" s="154"/>
      <c r="H179" s="60" t="s">
        <v>435</v>
      </c>
      <c r="I179" s="16" cm="1">
        <f t="array" ref="I179">SUMPRODUCT((B179:H179&lt;&gt;"")*1+(LEN(B179:H179)-LEN(SUBSTITUTE(B179:H179,",",""))))</f>
        <v>5</v>
      </c>
      <c r="J179" s="32"/>
      <c r="K179" s="33"/>
      <c r="L179" s="16" t="s">
        <v>133</v>
      </c>
      <c r="M179" s="13" t="s">
        <v>339</v>
      </c>
      <c r="N179" s="50"/>
      <c r="O179" s="54"/>
      <c r="P179" s="54"/>
      <c r="Q179" s="59" t="s">
        <v>280</v>
      </c>
    </row>
    <row r="180" spans="1:17" ht="15">
      <c r="A180" s="15" t="s">
        <v>436</v>
      </c>
      <c r="B180" s="60"/>
      <c r="C180" s="77"/>
      <c r="D180" s="60"/>
      <c r="E180" s="77"/>
      <c r="F180" s="60"/>
      <c r="G180" s="77"/>
      <c r="H180" s="60" t="s">
        <v>437</v>
      </c>
      <c r="I180" s="13" cm="1">
        <f t="array" ref="I180">SUMPRODUCT((B180:H180&lt;&gt;"")*1+(LEN(B180:H180)-LEN(SUBSTITUTE(B180:H180,",",""))))</f>
        <v>2</v>
      </c>
      <c r="J180" s="36"/>
      <c r="K180" s="37"/>
      <c r="L180" s="16" t="s">
        <v>133</v>
      </c>
      <c r="M180" s="13" t="s">
        <v>339</v>
      </c>
      <c r="N180" s="49"/>
      <c r="O180" s="53"/>
      <c r="P180" s="53"/>
      <c r="Q180" s="58" t="s">
        <v>181</v>
      </c>
    </row>
    <row r="181" spans="1:17" ht="25.5">
      <c r="A181" s="18" t="s">
        <v>438</v>
      </c>
      <c r="B181" s="60"/>
      <c r="C181" s="154"/>
      <c r="D181" s="60"/>
      <c r="E181" s="154"/>
      <c r="F181" s="60"/>
      <c r="G181" s="154"/>
      <c r="H181" s="60" t="s">
        <v>439</v>
      </c>
      <c r="I181" s="16" cm="1">
        <f t="array" ref="I181">SUMPRODUCT((B181:H181&lt;&gt;"")*1+(LEN(B181:H181)-LEN(SUBSTITUTE(B181:H181,",",""))))</f>
        <v>5</v>
      </c>
      <c r="J181" s="32"/>
      <c r="K181" s="33"/>
      <c r="L181" s="16" t="s">
        <v>133</v>
      </c>
      <c r="M181" s="13" t="s">
        <v>339</v>
      </c>
      <c r="N181" s="50"/>
      <c r="O181" s="54"/>
      <c r="P181" s="54"/>
      <c r="Q181" s="59" t="s">
        <v>181</v>
      </c>
    </row>
    <row r="182" spans="1:17" ht="15">
      <c r="A182" s="15" t="s">
        <v>440</v>
      </c>
      <c r="B182" s="60"/>
      <c r="C182" s="77">
        <v>45</v>
      </c>
      <c r="D182" s="60"/>
      <c r="E182" s="77"/>
      <c r="F182" s="60"/>
      <c r="G182" s="77"/>
      <c r="H182" s="60" t="s">
        <v>441</v>
      </c>
      <c r="I182" s="13" cm="1">
        <f t="array" ref="I182">SUMPRODUCT((B182:H182&lt;&gt;"")*1+(LEN(B182:H182)-LEN(SUBSTITUTE(B182:H182,",",""))))</f>
        <v>3</v>
      </c>
      <c r="J182" s="36"/>
      <c r="K182" s="37"/>
      <c r="L182" s="16" t="s">
        <v>133</v>
      </c>
      <c r="M182" s="13" t="s">
        <v>339</v>
      </c>
      <c r="N182" s="49"/>
      <c r="O182" s="53"/>
      <c r="P182" s="53"/>
      <c r="Q182" s="58" t="s">
        <v>45</v>
      </c>
    </row>
    <row r="183" spans="1:17" ht="25.5">
      <c r="A183" s="18" t="s">
        <v>442</v>
      </c>
      <c r="B183" s="60"/>
      <c r="C183" s="154"/>
      <c r="D183" s="60"/>
      <c r="E183" s="154" t="s">
        <v>443</v>
      </c>
      <c r="F183" s="60"/>
      <c r="G183" s="154"/>
      <c r="H183" s="60"/>
      <c r="I183" s="16" cm="1">
        <f t="array" ref="I183">SUMPRODUCT((B183:H183&lt;&gt;"")*1+(LEN(B183:H183)-LEN(SUBSTITUTE(B183:H183,",",""))))</f>
        <v>4</v>
      </c>
      <c r="J183" s="32"/>
      <c r="K183" s="33"/>
      <c r="L183" s="16" t="s">
        <v>133</v>
      </c>
      <c r="M183" s="13" t="s">
        <v>339</v>
      </c>
      <c r="N183" s="50"/>
      <c r="O183" s="54"/>
      <c r="P183" s="54"/>
      <c r="Q183" s="59" t="s">
        <v>45</v>
      </c>
    </row>
    <row r="184" spans="1:17" ht="15">
      <c r="A184" s="15" t="s">
        <v>444</v>
      </c>
      <c r="B184" s="60"/>
      <c r="C184" s="77"/>
      <c r="D184" s="60">
        <v>48</v>
      </c>
      <c r="E184" s="77" t="s">
        <v>445</v>
      </c>
      <c r="F184" s="60"/>
      <c r="G184" s="77"/>
      <c r="H184" s="60"/>
      <c r="I184" s="13" cm="1">
        <f t="array" ref="I184">SUMPRODUCT((B184:H184&lt;&gt;"")*1+(LEN(B184:H184)-LEN(SUBSTITUTE(B184:H184,",",""))))</f>
        <v>3</v>
      </c>
      <c r="J184" s="36"/>
      <c r="K184" s="37"/>
      <c r="L184" s="16" t="s">
        <v>133</v>
      </c>
      <c r="M184" s="13" t="s">
        <v>339</v>
      </c>
      <c r="N184" s="49"/>
      <c r="O184" s="53"/>
      <c r="P184" s="53"/>
      <c r="Q184" s="58" t="s">
        <v>181</v>
      </c>
    </row>
    <row r="185" spans="1:17" ht="15">
      <c r="A185" s="18" t="s">
        <v>446</v>
      </c>
      <c r="B185" s="60"/>
      <c r="C185" s="154" t="s">
        <v>447</v>
      </c>
      <c r="D185" s="60"/>
      <c r="E185" s="154"/>
      <c r="F185" s="60"/>
      <c r="G185" s="154"/>
      <c r="H185" s="60"/>
      <c r="I185" s="16" cm="1">
        <f t="array" ref="I185">SUMPRODUCT((B185:H185&lt;&gt;"")*1+(LEN(B185:H185)-LEN(SUBSTITUTE(B185:H185,",",""))))</f>
        <v>3</v>
      </c>
      <c r="J185" s="32"/>
      <c r="K185" s="33"/>
      <c r="L185" s="16" t="s">
        <v>133</v>
      </c>
      <c r="M185" s="13" t="s">
        <v>339</v>
      </c>
      <c r="N185" s="50"/>
      <c r="O185" s="54"/>
      <c r="P185" s="54"/>
      <c r="Q185" s="59" t="s">
        <v>45</v>
      </c>
    </row>
    <row r="186" spans="1:17" ht="15">
      <c r="A186" s="15" t="s">
        <v>448</v>
      </c>
      <c r="B186" s="60"/>
      <c r="C186" s="77" t="s">
        <v>449</v>
      </c>
      <c r="D186" s="60"/>
      <c r="E186" s="77" t="s">
        <v>450</v>
      </c>
      <c r="F186" s="60"/>
      <c r="G186" s="77"/>
      <c r="H186" s="60"/>
      <c r="I186" s="13" cm="1">
        <f t="array" ref="I186">SUMPRODUCT((B186:H186&lt;&gt;"")*1+(LEN(B186:H186)-LEN(SUBSTITUTE(B186:H186,",",""))))</f>
        <v>5</v>
      </c>
      <c r="J186" s="36"/>
      <c r="K186" s="37"/>
      <c r="L186" s="16" t="s">
        <v>133</v>
      </c>
      <c r="M186" s="13" t="s">
        <v>339</v>
      </c>
      <c r="N186" s="49"/>
      <c r="O186" s="53"/>
      <c r="P186" s="53"/>
      <c r="Q186" s="58" t="s">
        <v>45</v>
      </c>
    </row>
    <row r="187" spans="1:17" ht="15">
      <c r="A187" s="18" t="s">
        <v>451</v>
      </c>
      <c r="B187" s="60"/>
      <c r="C187" s="154" t="s">
        <v>207</v>
      </c>
      <c r="D187" s="60"/>
      <c r="E187" s="154"/>
      <c r="F187" s="60"/>
      <c r="G187" s="154"/>
      <c r="H187" s="60" t="s">
        <v>188</v>
      </c>
      <c r="I187" s="16" cm="1">
        <f t="array" ref="I187">SUMPRODUCT((B187:H187&lt;&gt;"")*1+(LEN(B187:H187)-LEN(SUBSTITUTE(B187:H187,",",""))))</f>
        <v>5</v>
      </c>
      <c r="J187" s="32"/>
      <c r="K187" s="33"/>
      <c r="L187" s="16" t="s">
        <v>133</v>
      </c>
      <c r="M187" s="13" t="s">
        <v>339</v>
      </c>
      <c r="N187" s="50"/>
      <c r="O187" s="54"/>
      <c r="P187" s="54"/>
      <c r="Q187" s="59" t="s">
        <v>280</v>
      </c>
    </row>
    <row r="188" spans="1:17" ht="25.5">
      <c r="A188" s="15" t="s">
        <v>452</v>
      </c>
      <c r="B188" s="60"/>
      <c r="C188" s="77"/>
      <c r="D188" s="60"/>
      <c r="E188" s="77"/>
      <c r="F188" s="60"/>
      <c r="G188" s="77"/>
      <c r="H188" s="60" t="s">
        <v>453</v>
      </c>
      <c r="I188" s="13" cm="1">
        <f t="array" ref="I188">SUMPRODUCT((B188:H188&lt;&gt;"")*1+(LEN(B188:H188)-LEN(SUBSTITUTE(B188:H188,",",""))))</f>
        <v>4</v>
      </c>
      <c r="J188" s="36"/>
      <c r="K188" s="37"/>
      <c r="L188" s="16" t="s">
        <v>133</v>
      </c>
      <c r="M188" s="13" t="s">
        <v>339</v>
      </c>
      <c r="N188" s="49"/>
      <c r="O188" s="53"/>
      <c r="P188" s="53"/>
      <c r="Q188" s="58" t="s">
        <v>280</v>
      </c>
    </row>
    <row r="189" spans="1:17" ht="25.5">
      <c r="A189" s="18" t="s">
        <v>454</v>
      </c>
      <c r="B189" s="60"/>
      <c r="C189" s="154"/>
      <c r="D189" s="60"/>
      <c r="E189" s="154">
        <v>12</v>
      </c>
      <c r="F189" s="60"/>
      <c r="G189" s="154"/>
      <c r="H189" s="60" t="s">
        <v>455</v>
      </c>
      <c r="I189" s="16" cm="1">
        <f t="array" ref="I189">SUMPRODUCT((B189:H189&lt;&gt;"")*1+(LEN(B189:H189)-LEN(SUBSTITUTE(B189:H189,",",""))))</f>
        <v>5</v>
      </c>
      <c r="J189" s="32"/>
      <c r="K189" s="33"/>
      <c r="L189" s="16" t="s">
        <v>133</v>
      </c>
      <c r="M189" s="13" t="s">
        <v>339</v>
      </c>
      <c r="N189" s="50"/>
      <c r="O189" s="54"/>
      <c r="P189" s="54"/>
      <c r="Q189" s="59" t="s">
        <v>280</v>
      </c>
    </row>
    <row r="190" spans="1:17" ht="15">
      <c r="A190" s="15" t="s">
        <v>456</v>
      </c>
      <c r="B190" s="60"/>
      <c r="C190" s="77">
        <v>27</v>
      </c>
      <c r="D190" s="60"/>
      <c r="E190" s="77">
        <v>11</v>
      </c>
      <c r="F190" s="60"/>
      <c r="G190" s="77"/>
      <c r="H190" s="60" t="s">
        <v>457</v>
      </c>
      <c r="I190" s="13" cm="1">
        <f t="array" ref="I190">SUMPRODUCT((B190:H190&lt;&gt;"")*1+(LEN(B190:H190)-LEN(SUBSTITUTE(B190:H190,",",""))))</f>
        <v>5</v>
      </c>
      <c r="J190" s="36"/>
      <c r="K190" s="37"/>
      <c r="L190" s="16" t="s">
        <v>133</v>
      </c>
      <c r="M190" s="13" t="s">
        <v>339</v>
      </c>
      <c r="N190" s="49"/>
      <c r="O190" s="53"/>
      <c r="P190" s="53"/>
      <c r="Q190" s="58" t="s">
        <v>45</v>
      </c>
    </row>
    <row r="191" spans="1:17" ht="15">
      <c r="A191" s="18" t="s">
        <v>458</v>
      </c>
      <c r="B191" s="60"/>
      <c r="C191" s="154"/>
      <c r="D191" s="60"/>
      <c r="E191" s="154">
        <v>57</v>
      </c>
      <c r="F191" s="60"/>
      <c r="G191" s="154"/>
      <c r="H191" s="60" t="s">
        <v>459</v>
      </c>
      <c r="I191" s="16" cm="1">
        <f t="array" ref="I191">SUMPRODUCT((B191:H191&lt;&gt;"")*1+(LEN(B191:H191)-LEN(SUBSTITUTE(B191:H191,",",""))))</f>
        <v>5</v>
      </c>
      <c r="J191" s="32"/>
      <c r="K191" s="33"/>
      <c r="L191" s="16" t="s">
        <v>133</v>
      </c>
      <c r="M191" s="13" t="s">
        <v>339</v>
      </c>
      <c r="N191" s="50"/>
      <c r="O191" s="54"/>
      <c r="P191" s="54"/>
      <c r="Q191" s="59" t="s">
        <v>45</v>
      </c>
    </row>
    <row r="192" spans="1:17" hidden="1">
      <c r="A192" s="18" t="s">
        <v>460</v>
      </c>
      <c r="B192" s="60"/>
      <c r="C192" s="154"/>
      <c r="D192" s="60"/>
      <c r="E192" s="154"/>
      <c r="F192" s="60"/>
      <c r="G192" s="154"/>
      <c r="H192" s="60"/>
      <c r="I192" s="16" cm="1">
        <f t="array" ref="I192">SUMPRODUCT((B192:H192&lt;&gt;"")*1+(LEN(B192:H192)-LEN(SUBSTITUTE(B192:H192,",",""))))</f>
        <v>0</v>
      </c>
      <c r="J192" s="32"/>
      <c r="K192" s="33"/>
      <c r="L192" s="16" t="s">
        <v>461</v>
      </c>
      <c r="M192" s="13" t="s">
        <v>339</v>
      </c>
      <c r="N192" s="50"/>
      <c r="O192" s="54"/>
      <c r="P192" s="54"/>
      <c r="Q192" s="59" t="s">
        <v>45</v>
      </c>
    </row>
    <row r="193" spans="1:17" hidden="1">
      <c r="A193" s="15" t="s">
        <v>462</v>
      </c>
      <c r="B193" s="174" t="s">
        <v>400</v>
      </c>
      <c r="C193" s="159"/>
      <c r="D193" s="174" t="s">
        <v>463</v>
      </c>
      <c r="E193" s="159"/>
      <c r="F193" s="174"/>
      <c r="G193" s="159"/>
      <c r="H193" s="174"/>
      <c r="I193" s="13" cm="1">
        <f t="array" ref="I193">SUMPRODUCT((B193:H193&lt;&gt;"")*1+(LEN(B193:H193)-LEN(SUBSTITUTE(B193:H193,",",""))))</f>
        <v>4</v>
      </c>
      <c r="J193" s="36" t="s">
        <v>132</v>
      </c>
      <c r="K193" s="37">
        <v>46206</v>
      </c>
      <c r="L193" s="16" t="s">
        <v>31</v>
      </c>
      <c r="M193" s="160" t="s">
        <v>339</v>
      </c>
      <c r="N193" s="161">
        <v>46206</v>
      </c>
      <c r="O193" s="53"/>
      <c r="P193" s="53"/>
      <c r="Q193" s="58" t="s">
        <v>33</v>
      </c>
    </row>
    <row r="194" spans="1:17" ht="15">
      <c r="A194" s="15" t="s">
        <v>464</v>
      </c>
      <c r="B194" s="60"/>
      <c r="C194" s="77">
        <v>36</v>
      </c>
      <c r="D194" s="60" t="s">
        <v>465</v>
      </c>
      <c r="E194" s="77"/>
      <c r="F194" s="60"/>
      <c r="G194" s="77"/>
      <c r="H194" s="60">
        <v>24</v>
      </c>
      <c r="I194" s="13" cm="1">
        <f t="array" ref="I194">SUMPRODUCT((B194:H194&lt;&gt;"")*1+(LEN(B194:H194)-LEN(SUBSTITUTE(B194:H194,",",""))))</f>
        <v>4</v>
      </c>
      <c r="J194" s="36"/>
      <c r="K194" s="37"/>
      <c r="L194" s="16" t="s">
        <v>133</v>
      </c>
      <c r="M194" s="13" t="s">
        <v>339</v>
      </c>
      <c r="N194" s="49"/>
      <c r="O194" s="53"/>
      <c r="P194" s="53"/>
      <c r="Q194" s="58" t="s">
        <v>45</v>
      </c>
    </row>
    <row r="195" spans="1:17" ht="25.5">
      <c r="A195" s="18" t="s">
        <v>466</v>
      </c>
      <c r="B195" s="60"/>
      <c r="C195" s="154"/>
      <c r="D195" s="60" t="s">
        <v>467</v>
      </c>
      <c r="E195" s="154"/>
      <c r="F195" s="60"/>
      <c r="G195" s="154"/>
      <c r="H195" s="60"/>
      <c r="I195" s="16" cm="1">
        <f t="array" ref="I195">SUMPRODUCT((B195:H195&lt;&gt;"")*1+(LEN(B195:H195)-LEN(SUBSTITUTE(B195:H195,",",""))))</f>
        <v>4</v>
      </c>
      <c r="J195" s="32"/>
      <c r="K195" s="33"/>
      <c r="L195" s="16" t="s">
        <v>133</v>
      </c>
      <c r="M195" s="13" t="s">
        <v>339</v>
      </c>
      <c r="N195" s="50"/>
      <c r="O195" s="54"/>
      <c r="P195" s="54"/>
      <c r="Q195" s="59" t="s">
        <v>45</v>
      </c>
    </row>
    <row r="196" spans="1:17" ht="25.5">
      <c r="A196" s="15" t="s">
        <v>468</v>
      </c>
      <c r="B196" s="60"/>
      <c r="C196" s="77"/>
      <c r="D196" s="60" t="s">
        <v>469</v>
      </c>
      <c r="E196" s="77"/>
      <c r="F196" s="60"/>
      <c r="G196" s="77"/>
      <c r="H196" s="60">
        <v>17</v>
      </c>
      <c r="I196" s="13" cm="1">
        <f t="array" ref="I196">SUMPRODUCT((B196:H196&lt;&gt;"")*1+(LEN(B196:H196)-LEN(SUBSTITUTE(B196:H196,",",""))))</f>
        <v>5</v>
      </c>
      <c r="J196" s="36"/>
      <c r="K196" s="37"/>
      <c r="L196" s="16" t="s">
        <v>133</v>
      </c>
      <c r="M196" s="13" t="s">
        <v>339</v>
      </c>
      <c r="N196" s="49"/>
      <c r="O196" s="53"/>
      <c r="P196" s="53"/>
      <c r="Q196" s="58" t="s">
        <v>33</v>
      </c>
    </row>
    <row r="197" spans="1:17" ht="25.5">
      <c r="A197" s="18" t="s">
        <v>470</v>
      </c>
      <c r="B197" s="60"/>
      <c r="C197" s="154"/>
      <c r="D197" s="60"/>
      <c r="E197" s="154"/>
      <c r="F197" s="60"/>
      <c r="G197" s="154"/>
      <c r="H197" s="60" t="s">
        <v>471</v>
      </c>
      <c r="I197" s="16" cm="1">
        <f t="array" ref="I197">SUMPRODUCT((B197:H197&lt;&gt;"")*1+(LEN(B197:H197)-LEN(SUBSTITUTE(B197:H197,",",""))))</f>
        <v>5</v>
      </c>
      <c r="J197" s="32"/>
      <c r="K197" s="33"/>
      <c r="L197" s="16" t="s">
        <v>133</v>
      </c>
      <c r="M197" s="13" t="s">
        <v>339</v>
      </c>
      <c r="N197" s="50"/>
      <c r="O197" s="54"/>
      <c r="P197" s="54"/>
      <c r="Q197" s="59" t="s">
        <v>45</v>
      </c>
    </row>
    <row r="198" spans="1:17" ht="15">
      <c r="A198" s="15" t="s">
        <v>472</v>
      </c>
      <c r="B198" s="60"/>
      <c r="C198" s="77"/>
      <c r="D198" s="60" t="s">
        <v>473</v>
      </c>
      <c r="E198" s="77"/>
      <c r="F198" s="60"/>
      <c r="G198" s="77"/>
      <c r="H198" s="60"/>
      <c r="I198" s="13" cm="1">
        <f t="array" ref="I198">SUMPRODUCT((B198:H198&lt;&gt;"")*1+(LEN(B198:H198)-LEN(SUBSTITUTE(B198:H198,",",""))))</f>
        <v>2</v>
      </c>
      <c r="J198" s="36"/>
      <c r="K198" s="37"/>
      <c r="L198" s="16" t="s">
        <v>133</v>
      </c>
      <c r="M198" s="13" t="s">
        <v>339</v>
      </c>
      <c r="N198" s="49"/>
      <c r="O198" s="53"/>
      <c r="P198" s="53"/>
      <c r="Q198" s="58" t="s">
        <v>45</v>
      </c>
    </row>
    <row r="199" spans="1:17" ht="15">
      <c r="A199" s="18" t="s">
        <v>474</v>
      </c>
      <c r="B199" s="60"/>
      <c r="C199" s="154"/>
      <c r="D199" s="60"/>
      <c r="E199" s="154"/>
      <c r="F199" s="60"/>
      <c r="G199" s="154"/>
      <c r="H199" s="60" t="s">
        <v>475</v>
      </c>
      <c r="I199" s="16" cm="1">
        <f t="array" ref="I199">SUMPRODUCT((B199:H199&lt;&gt;"")*1+(LEN(B199:H199)-LEN(SUBSTITUTE(B199:H199,",",""))))</f>
        <v>2</v>
      </c>
      <c r="J199" s="32"/>
      <c r="K199" s="33"/>
      <c r="L199" s="16" t="s">
        <v>133</v>
      </c>
      <c r="M199" s="13" t="s">
        <v>339</v>
      </c>
      <c r="N199" s="50"/>
      <c r="O199" s="54"/>
      <c r="P199" s="54"/>
      <c r="Q199" s="59" t="s">
        <v>181</v>
      </c>
    </row>
    <row r="200" spans="1:17" ht="15">
      <c r="A200" s="15" t="s">
        <v>476</v>
      </c>
      <c r="B200" s="60"/>
      <c r="C200" s="77"/>
      <c r="D200" s="60" t="s">
        <v>477</v>
      </c>
      <c r="E200" s="77"/>
      <c r="F200" s="60"/>
      <c r="G200" s="77"/>
      <c r="H200" s="60">
        <v>23</v>
      </c>
      <c r="I200" s="13" cm="1">
        <f t="array" ref="I200">SUMPRODUCT((B200:H200&lt;&gt;"")*1+(LEN(B200:H200)-LEN(SUBSTITUTE(B200:H200,",",""))))</f>
        <v>3</v>
      </c>
      <c r="J200" s="36"/>
      <c r="K200" s="37"/>
      <c r="L200" s="16" t="s">
        <v>133</v>
      </c>
      <c r="M200" s="13" t="s">
        <v>339</v>
      </c>
      <c r="N200" s="49"/>
      <c r="O200" s="53"/>
      <c r="P200" s="53"/>
      <c r="Q200" s="58" t="s">
        <v>45</v>
      </c>
    </row>
    <row r="201" spans="1:17" ht="25.5">
      <c r="A201" s="15" t="s">
        <v>478</v>
      </c>
      <c r="B201" s="60"/>
      <c r="C201" s="77" t="s">
        <v>479</v>
      </c>
      <c r="D201" s="60"/>
      <c r="E201" s="77" t="s">
        <v>480</v>
      </c>
      <c r="F201" s="60"/>
      <c r="G201" s="77"/>
      <c r="H201" s="60"/>
      <c r="I201" s="13" cm="1">
        <f t="array" ref="I201">SUMPRODUCT((B201:H201&lt;&gt;"")*1+(LEN(B201:H201)-LEN(SUBSTITUTE(B201:H201,",",""))))</f>
        <v>7</v>
      </c>
      <c r="J201" s="36"/>
      <c r="K201" s="37"/>
      <c r="L201" s="13" t="s">
        <v>133</v>
      </c>
      <c r="M201" s="13" t="s">
        <v>339</v>
      </c>
      <c r="N201" s="49"/>
      <c r="O201" s="53"/>
      <c r="P201" s="53"/>
      <c r="Q201" s="58" t="s">
        <v>45</v>
      </c>
    </row>
    <row r="202" spans="1:17" ht="15">
      <c r="A202" s="18" t="s">
        <v>481</v>
      </c>
      <c r="B202" s="60"/>
      <c r="C202" s="154">
        <v>23</v>
      </c>
      <c r="D202" s="60"/>
      <c r="E202" s="154" t="s">
        <v>482</v>
      </c>
      <c r="F202" s="60"/>
      <c r="G202" s="154"/>
      <c r="H202" s="60"/>
      <c r="I202" s="18" cm="1">
        <f t="array" ref="I202">SUMPRODUCT((B202:H202&lt;&gt;"")*1+(LEN(B202:H202)-LEN(SUBSTITUTE(B202:H202,",",""))))</f>
        <v>3</v>
      </c>
      <c r="J202" s="18" t="s">
        <v>132</v>
      </c>
      <c r="K202" s="17"/>
      <c r="L202" s="16" t="s">
        <v>228</v>
      </c>
      <c r="M202" s="13" t="s">
        <v>339</v>
      </c>
      <c r="N202" s="47"/>
      <c r="O202" s="51"/>
      <c r="P202" s="51"/>
      <c r="Q202" s="56" t="s">
        <v>246</v>
      </c>
    </row>
    <row r="203" spans="1:17" ht="15">
      <c r="A203" s="15" t="s">
        <v>483</v>
      </c>
      <c r="B203" s="60"/>
      <c r="C203" s="77"/>
      <c r="D203" s="60"/>
      <c r="E203" s="77" t="s">
        <v>484</v>
      </c>
      <c r="F203" s="60"/>
      <c r="G203" s="77"/>
      <c r="H203" s="60"/>
      <c r="I203" s="15" cm="1">
        <f t="array" ref="I203">SUMPRODUCT((B203:H203&lt;&gt;"")*1+(LEN(B203:H203)-LEN(SUBSTITUTE(B203:H203,",",""))))</f>
        <v>3</v>
      </c>
      <c r="J203" s="15" t="s">
        <v>132</v>
      </c>
      <c r="K203" s="14"/>
      <c r="L203" s="16" t="s">
        <v>228</v>
      </c>
      <c r="M203" s="13" t="s">
        <v>339</v>
      </c>
      <c r="N203" s="48"/>
      <c r="O203" s="52"/>
      <c r="P203" s="52"/>
      <c r="Q203" s="57" t="s">
        <v>246</v>
      </c>
    </row>
    <row r="204" spans="1:17">
      <c r="A204" s="18" t="s">
        <v>485</v>
      </c>
      <c r="B204" s="60"/>
      <c r="C204" s="154"/>
      <c r="D204" s="60"/>
      <c r="E204" s="154"/>
      <c r="F204" s="60"/>
      <c r="G204" s="154"/>
      <c r="H204" s="60"/>
      <c r="I204" s="16" cm="1">
        <f t="array" ref="I204">SUMPRODUCT((B204:H204&lt;&gt;"")*1+(LEN(B204:H204)-LEN(SUBSTITUTE(B204:H204,",",""))))</f>
        <v>0</v>
      </c>
      <c r="J204" s="32"/>
      <c r="K204" s="33"/>
      <c r="L204" s="16"/>
      <c r="M204" s="13" t="s">
        <v>339</v>
      </c>
      <c r="N204" s="50"/>
      <c r="O204" s="54"/>
      <c r="P204" s="54"/>
      <c r="Q204" s="59" t="s">
        <v>280</v>
      </c>
    </row>
    <row r="205" spans="1:17">
      <c r="A205" s="15" t="s">
        <v>486</v>
      </c>
      <c r="B205" s="60"/>
      <c r="C205" s="77"/>
      <c r="D205" s="60"/>
      <c r="E205" s="77"/>
      <c r="F205" s="60"/>
      <c r="G205" s="77"/>
      <c r="H205" s="60"/>
      <c r="I205" s="13" cm="1">
        <f t="array" ref="I205">SUMPRODUCT((B205:H205&lt;&gt;"")*1+(LEN(B205:H205)-LEN(SUBSTITUTE(B205:H205,",",""))))</f>
        <v>0</v>
      </c>
      <c r="J205" s="36"/>
      <c r="K205" s="37"/>
      <c r="L205" s="13"/>
      <c r="M205" s="13" t="s">
        <v>339</v>
      </c>
      <c r="N205" s="49"/>
      <c r="O205" s="53"/>
      <c r="P205" s="53"/>
      <c r="Q205" s="58" t="s">
        <v>280</v>
      </c>
    </row>
    <row r="206" spans="1:17">
      <c r="A206" s="18" t="s">
        <v>487</v>
      </c>
      <c r="B206" s="60"/>
      <c r="C206" s="154"/>
      <c r="D206" s="60"/>
      <c r="E206" s="154"/>
      <c r="F206" s="60"/>
      <c r="G206" s="154"/>
      <c r="H206" s="60"/>
      <c r="I206" s="16" cm="1">
        <f t="array" ref="I206">SUMPRODUCT((B206:H206&lt;&gt;"")*1+(LEN(B206:H206)-LEN(SUBSTITUTE(B206:H206,",",""))))</f>
        <v>0</v>
      </c>
      <c r="J206" s="32"/>
      <c r="K206" s="33"/>
      <c r="L206" s="16"/>
      <c r="M206" s="13" t="s">
        <v>339</v>
      </c>
      <c r="N206" s="50"/>
      <c r="O206" s="54"/>
      <c r="P206" s="54"/>
      <c r="Q206" s="59" t="s">
        <v>280</v>
      </c>
    </row>
    <row r="207" spans="1:17">
      <c r="A207" s="15" t="s">
        <v>488</v>
      </c>
      <c r="B207" s="60"/>
      <c r="C207" s="77"/>
      <c r="D207" s="60"/>
      <c r="E207" s="77"/>
      <c r="F207" s="60"/>
      <c r="G207" s="77"/>
      <c r="H207" s="60"/>
      <c r="I207" s="13" cm="1">
        <f t="array" ref="I207">SUMPRODUCT((B207:H207&lt;&gt;"")*1+(LEN(B207:H207)-LEN(SUBSTITUTE(B207:H207,",",""))))</f>
        <v>0</v>
      </c>
      <c r="J207" s="36"/>
      <c r="K207" s="37"/>
      <c r="L207" s="13"/>
      <c r="M207" s="13" t="s">
        <v>339</v>
      </c>
      <c r="N207" s="49"/>
      <c r="O207" s="53"/>
      <c r="P207" s="53"/>
      <c r="Q207" s="58" t="s">
        <v>181</v>
      </c>
    </row>
    <row r="208" spans="1:17">
      <c r="A208" s="18" t="s">
        <v>489</v>
      </c>
      <c r="B208" s="34"/>
      <c r="C208" s="35"/>
      <c r="D208" s="34"/>
      <c r="E208" s="35"/>
      <c r="F208" s="34"/>
      <c r="G208" s="35"/>
      <c r="H208" s="34"/>
      <c r="I208" s="16" cm="1">
        <f t="array" ref="I208">SUMPRODUCT((B208:H208&lt;&gt;"")*1+(LEN(B208:H208)-LEN(SUBSTITUTE(B208:H208,",",""))))</f>
        <v>0</v>
      </c>
      <c r="J208" s="32"/>
      <c r="K208" s="33"/>
      <c r="L208" s="16"/>
      <c r="M208" s="13" t="s">
        <v>339</v>
      </c>
      <c r="N208" s="50"/>
      <c r="O208" s="54"/>
      <c r="P208" s="54"/>
      <c r="Q208" s="59" t="s">
        <v>33</v>
      </c>
    </row>
    <row r="209" spans="1:17">
      <c r="A209" s="15" t="s">
        <v>490</v>
      </c>
      <c r="B209" s="34"/>
      <c r="C209" s="38"/>
      <c r="D209" s="34"/>
      <c r="E209" s="38"/>
      <c r="F209" s="34"/>
      <c r="G209" s="38"/>
      <c r="H209" s="34"/>
      <c r="I209" s="13" cm="1">
        <f t="array" ref="I209">SUMPRODUCT((B209:H209&lt;&gt;"")*1+(LEN(B209:H209)-LEN(SUBSTITUTE(B209:H209,",",""))))</f>
        <v>0</v>
      </c>
      <c r="J209" s="36"/>
      <c r="K209" s="37"/>
      <c r="L209" s="13"/>
      <c r="M209" s="13" t="s">
        <v>339</v>
      </c>
      <c r="N209" s="49"/>
      <c r="O209" s="53"/>
      <c r="P209" s="53"/>
      <c r="Q209" s="58" t="s">
        <v>33</v>
      </c>
    </row>
    <row r="210" spans="1:17">
      <c r="A210" s="18" t="s">
        <v>491</v>
      </c>
      <c r="B210" s="34"/>
      <c r="C210" s="35"/>
      <c r="D210" s="34"/>
      <c r="E210" s="35"/>
      <c r="F210" s="34"/>
      <c r="G210" s="35"/>
      <c r="H210" s="34"/>
      <c r="I210" s="16" cm="1">
        <f t="array" ref="I210">SUMPRODUCT((B210:H210&lt;&gt;"")*1+(LEN(B210:H210)-LEN(SUBSTITUTE(B210:H210,",",""))))</f>
        <v>0</v>
      </c>
      <c r="J210" s="32"/>
      <c r="K210" s="33"/>
      <c r="L210" s="16"/>
      <c r="M210" s="13" t="s">
        <v>339</v>
      </c>
      <c r="N210" s="50"/>
      <c r="O210" s="54"/>
      <c r="P210" s="54"/>
      <c r="Q210" s="59" t="s">
        <v>33</v>
      </c>
    </row>
    <row r="211" spans="1:17">
      <c r="A211" s="15" t="s">
        <v>492</v>
      </c>
      <c r="B211" s="34"/>
      <c r="C211" s="38"/>
      <c r="D211" s="34"/>
      <c r="E211" s="38"/>
      <c r="F211" s="34"/>
      <c r="G211" s="38"/>
      <c r="H211" s="34"/>
      <c r="I211" s="13" cm="1">
        <f t="array" ref="I211">SUMPRODUCT((B211:H211&lt;&gt;"")*1+(LEN(B211:H211)-LEN(SUBSTITUTE(B211:H211,",",""))))</f>
        <v>0</v>
      </c>
      <c r="J211" s="36"/>
      <c r="K211" s="37"/>
      <c r="L211" s="13"/>
      <c r="M211" s="13" t="s">
        <v>339</v>
      </c>
      <c r="N211" s="49"/>
      <c r="O211" s="53"/>
      <c r="P211" s="53"/>
      <c r="Q211" s="58" t="s">
        <v>493</v>
      </c>
    </row>
    <row r="212" spans="1:17">
      <c r="A212" s="18" t="s">
        <v>494</v>
      </c>
      <c r="B212" s="34"/>
      <c r="C212" s="35"/>
      <c r="D212" s="34"/>
      <c r="E212" s="35"/>
      <c r="F212" s="34"/>
      <c r="G212" s="35"/>
      <c r="H212" s="34"/>
      <c r="I212" s="16" cm="1">
        <f t="array" ref="I212">SUMPRODUCT((B212:H212&lt;&gt;"")*1+(LEN(B212:H212)-LEN(SUBSTITUTE(B212:H212,",",""))))</f>
        <v>0</v>
      </c>
      <c r="J212" s="32"/>
      <c r="K212" s="33"/>
      <c r="L212" s="16"/>
      <c r="M212" s="13" t="s">
        <v>339</v>
      </c>
      <c r="N212" s="50"/>
      <c r="O212" s="54"/>
      <c r="P212" s="54"/>
      <c r="Q212" s="59" t="s">
        <v>493</v>
      </c>
    </row>
    <row r="213" spans="1:17">
      <c r="A213" s="15" t="s">
        <v>495</v>
      </c>
      <c r="B213" s="34"/>
      <c r="C213" s="38"/>
      <c r="D213" s="34"/>
      <c r="E213" s="38"/>
      <c r="F213" s="34"/>
      <c r="G213" s="38"/>
      <c r="H213" s="34"/>
      <c r="I213" s="13" cm="1">
        <f t="array" ref="I213">SUMPRODUCT((B213:H213&lt;&gt;"")*1+(LEN(B213:H213)-LEN(SUBSTITUTE(B213:H213,",",""))))</f>
        <v>0</v>
      </c>
      <c r="J213" s="36"/>
      <c r="K213" s="37"/>
      <c r="L213" s="13"/>
      <c r="M213" s="13" t="s">
        <v>339</v>
      </c>
      <c r="N213" s="49"/>
      <c r="O213" s="53"/>
      <c r="P213" s="53"/>
      <c r="Q213" s="58" t="s">
        <v>493</v>
      </c>
    </row>
    <row r="214" spans="1:17">
      <c r="A214" s="18" t="s">
        <v>496</v>
      </c>
      <c r="B214" s="34"/>
      <c r="C214" s="35"/>
      <c r="D214" s="34"/>
      <c r="E214" s="35"/>
      <c r="F214" s="34"/>
      <c r="G214" s="35"/>
      <c r="H214" s="34"/>
      <c r="I214" s="16" cm="1">
        <f t="array" ref="I214">SUMPRODUCT((B214:H214&lt;&gt;"")*1+(LEN(B214:H214)-LEN(SUBSTITUTE(B214:H214,",",""))))</f>
        <v>0</v>
      </c>
      <c r="J214" s="32"/>
      <c r="K214" s="33"/>
      <c r="L214" s="16"/>
      <c r="M214" s="13" t="s">
        <v>339</v>
      </c>
      <c r="N214" s="50"/>
      <c r="O214" s="54"/>
      <c r="P214" s="54"/>
      <c r="Q214" s="59" t="s">
        <v>493</v>
      </c>
    </row>
    <row r="215" spans="1:17">
      <c r="A215" s="15" t="s">
        <v>497</v>
      </c>
      <c r="B215" s="34"/>
      <c r="C215" s="38"/>
      <c r="D215" s="34"/>
      <c r="E215" s="38"/>
      <c r="F215" s="34"/>
      <c r="G215" s="38"/>
      <c r="H215" s="34"/>
      <c r="I215" s="13" cm="1">
        <f t="array" ref="I215">SUMPRODUCT((B215:H215&lt;&gt;"")*1+(LEN(B215:H215)-LEN(SUBSTITUTE(B215:H215,",",""))))</f>
        <v>0</v>
      </c>
      <c r="J215" s="36"/>
      <c r="K215" s="37"/>
      <c r="L215" s="13"/>
      <c r="M215" s="13" t="s">
        <v>339</v>
      </c>
      <c r="N215" s="49"/>
      <c r="O215" s="53"/>
      <c r="P215" s="53"/>
      <c r="Q215" s="58" t="s">
        <v>493</v>
      </c>
    </row>
    <row r="216" spans="1:17">
      <c r="A216" s="18" t="s">
        <v>498</v>
      </c>
      <c r="B216" s="34"/>
      <c r="C216" s="35"/>
      <c r="D216" s="34"/>
      <c r="E216" s="35"/>
      <c r="F216" s="34"/>
      <c r="G216" s="35"/>
      <c r="H216" s="34"/>
      <c r="I216" s="16" cm="1">
        <f t="array" ref="I216">SUMPRODUCT((B216:H216&lt;&gt;"")*1+(LEN(B216:H216)-LEN(SUBSTITUTE(B216:H216,",",""))))</f>
        <v>0</v>
      </c>
      <c r="J216" s="32"/>
      <c r="K216" s="33"/>
      <c r="L216" s="16"/>
      <c r="M216" s="13" t="s">
        <v>339</v>
      </c>
      <c r="N216" s="50"/>
      <c r="O216" s="54"/>
      <c r="P216" s="54"/>
      <c r="Q216" s="59" t="s">
        <v>493</v>
      </c>
    </row>
    <row r="217" spans="1:17">
      <c r="A217" s="15" t="s">
        <v>499</v>
      </c>
      <c r="B217" s="34"/>
      <c r="C217" s="38"/>
      <c r="D217" s="34"/>
      <c r="E217" s="38"/>
      <c r="F217" s="34"/>
      <c r="G217" s="38"/>
      <c r="H217" s="34"/>
      <c r="I217" s="13" cm="1">
        <f t="array" ref="I217">SUMPRODUCT((B217:H217&lt;&gt;"")*1+(LEN(B217:H217)-LEN(SUBSTITUTE(B217:H217,",",""))))</f>
        <v>0</v>
      </c>
      <c r="J217" s="36"/>
      <c r="K217" s="37"/>
      <c r="L217" s="13"/>
      <c r="M217" s="13" t="s">
        <v>339</v>
      </c>
      <c r="N217" s="49"/>
      <c r="O217" s="53"/>
      <c r="P217" s="53"/>
      <c r="Q217" s="58" t="s">
        <v>493</v>
      </c>
    </row>
    <row r="218" spans="1:17">
      <c r="A218" s="18" t="s">
        <v>500</v>
      </c>
      <c r="B218" s="34"/>
      <c r="C218" s="35"/>
      <c r="D218" s="34"/>
      <c r="E218" s="35"/>
      <c r="F218" s="34"/>
      <c r="G218" s="35"/>
      <c r="H218" s="34"/>
      <c r="I218" s="16" cm="1">
        <f t="array" ref="I218">SUMPRODUCT((B218:H218&lt;&gt;"")*1+(LEN(B218:H218)-LEN(SUBSTITUTE(B218:H218,",",""))))</f>
        <v>0</v>
      </c>
      <c r="J218" s="32"/>
      <c r="K218" s="33"/>
      <c r="L218" s="16"/>
      <c r="M218" s="13" t="s">
        <v>339</v>
      </c>
      <c r="N218" s="50"/>
      <c r="O218" s="54"/>
      <c r="P218" s="54"/>
      <c r="Q218" s="59" t="s">
        <v>493</v>
      </c>
    </row>
    <row r="219" spans="1:17">
      <c r="A219" s="15" t="s">
        <v>267</v>
      </c>
      <c r="B219" s="34"/>
      <c r="C219" s="38"/>
      <c r="D219" s="34"/>
      <c r="E219" s="38"/>
      <c r="F219" s="34"/>
      <c r="G219" s="38"/>
      <c r="H219" s="34"/>
      <c r="I219" s="13" cm="1">
        <f t="array" ref="I219">SUMPRODUCT((B219:H219&lt;&gt;"")*1+(LEN(B219:H219)-LEN(SUBSTITUTE(B219:H219,",",""))))</f>
        <v>0</v>
      </c>
      <c r="J219" s="36"/>
      <c r="K219" s="37"/>
      <c r="L219" s="13"/>
      <c r="M219" s="13" t="s">
        <v>339</v>
      </c>
      <c r="N219" s="49"/>
      <c r="O219" s="53"/>
      <c r="P219" s="53"/>
      <c r="Q219" s="58" t="s">
        <v>45</v>
      </c>
    </row>
    <row r="220" spans="1:17">
      <c r="A220" s="18" t="s">
        <v>501</v>
      </c>
      <c r="B220" s="34"/>
      <c r="C220" s="35"/>
      <c r="D220" s="34"/>
      <c r="E220" s="35"/>
      <c r="F220" s="34"/>
      <c r="G220" s="35"/>
      <c r="H220" s="34"/>
      <c r="I220" s="16" cm="1">
        <f t="array" ref="I220">SUMPRODUCT((B220:H220&lt;&gt;"")*1+(LEN(B220:H220)-LEN(SUBSTITUTE(B220:H220,",",""))))</f>
        <v>0</v>
      </c>
      <c r="J220" s="32"/>
      <c r="K220" s="33"/>
      <c r="L220" s="16"/>
      <c r="M220" s="13" t="s">
        <v>339</v>
      </c>
      <c r="N220" s="50"/>
      <c r="O220" s="54"/>
      <c r="P220" s="54"/>
      <c r="Q220" s="59" t="s">
        <v>33</v>
      </c>
    </row>
    <row r="221" spans="1:17">
      <c r="A221" s="15" t="s">
        <v>365</v>
      </c>
      <c r="B221" s="34"/>
      <c r="C221" s="38"/>
      <c r="D221" s="34"/>
      <c r="E221" s="38"/>
      <c r="F221" s="34"/>
      <c r="G221" s="38"/>
      <c r="H221" s="34"/>
      <c r="I221" s="13" cm="1">
        <f t="array" ref="I221">SUMPRODUCT((B221:H221&lt;&gt;"")*1+(LEN(B221:H221)-LEN(SUBSTITUTE(B221:H221,",",""))))</f>
        <v>0</v>
      </c>
      <c r="J221" s="36"/>
      <c r="K221" s="37"/>
      <c r="L221" s="13"/>
      <c r="M221" s="13" t="s">
        <v>339</v>
      </c>
      <c r="N221" s="49"/>
      <c r="O221" s="53"/>
      <c r="P221" s="53"/>
      <c r="Q221" s="58" t="s">
        <v>33</v>
      </c>
    </row>
    <row r="222" spans="1:17">
      <c r="A222" s="18" t="s">
        <v>502</v>
      </c>
      <c r="B222" s="34"/>
      <c r="C222" s="35"/>
      <c r="D222" s="34"/>
      <c r="E222" s="35"/>
      <c r="F222" s="34"/>
      <c r="G222" s="35"/>
      <c r="H222" s="34"/>
      <c r="I222" s="16" cm="1">
        <f t="array" ref="I222">SUMPRODUCT((B222:H222&lt;&gt;"")*1+(LEN(B222:H222)-LEN(SUBSTITUTE(B222:H222,",",""))))</f>
        <v>0</v>
      </c>
      <c r="J222" s="32"/>
      <c r="K222" s="33"/>
      <c r="L222" s="16"/>
      <c r="M222" s="13" t="s">
        <v>339</v>
      </c>
      <c r="N222" s="50"/>
      <c r="O222" s="54"/>
      <c r="P222" s="54"/>
      <c r="Q222" s="59" t="s">
        <v>33</v>
      </c>
    </row>
    <row r="223" spans="1:17">
      <c r="A223" s="15" t="s">
        <v>503</v>
      </c>
      <c r="B223" s="34"/>
      <c r="C223" s="38"/>
      <c r="D223" s="34"/>
      <c r="E223" s="38"/>
      <c r="F223" s="34"/>
      <c r="G223" s="38"/>
      <c r="H223" s="34"/>
      <c r="I223" s="13" cm="1">
        <f t="array" ref="I223">SUMPRODUCT((B223:H223&lt;&gt;"")*1+(LEN(B223:H223)-LEN(SUBSTITUTE(B223:H223,",",""))))</f>
        <v>0</v>
      </c>
      <c r="J223" s="36"/>
      <c r="K223" s="37"/>
      <c r="L223" s="13"/>
      <c r="M223" s="13" t="s">
        <v>339</v>
      </c>
      <c r="N223" s="49"/>
      <c r="O223" s="53"/>
      <c r="P223" s="53"/>
      <c r="Q223" s="58" t="s">
        <v>33</v>
      </c>
    </row>
    <row r="224" spans="1:17">
      <c r="A224" s="18" t="s">
        <v>504</v>
      </c>
      <c r="B224" s="34"/>
      <c r="C224" s="35"/>
      <c r="D224" s="34"/>
      <c r="E224" s="35"/>
      <c r="F224" s="34"/>
      <c r="G224" s="35"/>
      <c r="H224" s="34"/>
      <c r="I224" s="16" cm="1">
        <f t="array" ref="I224">SUMPRODUCT((B224:H224&lt;&gt;"")*1+(LEN(B224:H224)-LEN(SUBSTITUTE(B224:H224,",",""))))</f>
        <v>0</v>
      </c>
      <c r="J224" s="32"/>
      <c r="K224" s="33"/>
      <c r="L224" s="16"/>
      <c r="M224" s="13" t="s">
        <v>339</v>
      </c>
      <c r="N224" s="50"/>
      <c r="O224" s="54"/>
      <c r="P224" s="54"/>
      <c r="Q224" s="59" t="s">
        <v>45</v>
      </c>
    </row>
    <row r="225" spans="1:17">
      <c r="A225" s="15" t="s">
        <v>505</v>
      </c>
      <c r="B225" s="34"/>
      <c r="C225" s="38"/>
      <c r="D225" s="34"/>
      <c r="E225" s="38"/>
      <c r="F225" s="34"/>
      <c r="G225" s="38"/>
      <c r="H225" s="34"/>
      <c r="I225" s="13" cm="1">
        <f t="array" ref="I225">SUMPRODUCT((B225:H225&lt;&gt;"")*1+(LEN(B225:H225)-LEN(SUBSTITUTE(B225:H225,",",""))))</f>
        <v>0</v>
      </c>
      <c r="J225" s="36"/>
      <c r="K225" s="37"/>
      <c r="L225" s="13"/>
      <c r="M225" s="13" t="s">
        <v>339</v>
      </c>
      <c r="N225" s="49"/>
      <c r="O225" s="53"/>
      <c r="P225" s="53"/>
      <c r="Q225" s="58" t="s">
        <v>33</v>
      </c>
    </row>
    <row r="226" spans="1:17">
      <c r="A226" s="18" t="s">
        <v>506</v>
      </c>
      <c r="B226" s="34"/>
      <c r="C226" s="35"/>
      <c r="D226" s="34"/>
      <c r="E226" s="35"/>
      <c r="F226" s="34"/>
      <c r="G226" s="35"/>
      <c r="H226" s="34"/>
      <c r="I226" s="16" cm="1">
        <f t="array" ref="I226">SUMPRODUCT((B226:H226&lt;&gt;"")*1+(LEN(B226:H226)-LEN(SUBSTITUTE(B226:H226,",",""))))</f>
        <v>0</v>
      </c>
      <c r="J226" s="32"/>
      <c r="K226" s="33"/>
      <c r="L226" s="16"/>
      <c r="M226" s="13" t="s">
        <v>339</v>
      </c>
      <c r="N226" s="50"/>
      <c r="O226" s="54"/>
      <c r="P226" s="54"/>
      <c r="Q226" s="59" t="s">
        <v>33</v>
      </c>
    </row>
    <row r="227" spans="1:17">
      <c r="A227" s="15" t="s">
        <v>507</v>
      </c>
      <c r="B227" s="34"/>
      <c r="C227" s="38"/>
      <c r="D227" s="34"/>
      <c r="E227" s="38"/>
      <c r="F227" s="34"/>
      <c r="G227" s="38"/>
      <c r="H227" s="34"/>
      <c r="I227" s="13" cm="1">
        <f t="array" ref="I227">SUMPRODUCT((B227:H227&lt;&gt;"")*1+(LEN(B227:H227)-LEN(SUBSTITUTE(B227:H227,",",""))))</f>
        <v>0</v>
      </c>
      <c r="J227" s="36"/>
      <c r="K227" s="37"/>
      <c r="L227" s="13"/>
      <c r="M227" s="13" t="s">
        <v>339</v>
      </c>
      <c r="N227" s="49"/>
      <c r="O227" s="53"/>
      <c r="P227" s="53"/>
      <c r="Q227" s="58" t="s">
        <v>33</v>
      </c>
    </row>
    <row r="228" spans="1:17">
      <c r="A228" s="18" t="s">
        <v>508</v>
      </c>
      <c r="B228" s="34"/>
      <c r="C228" s="35"/>
      <c r="D228" s="34"/>
      <c r="E228" s="35"/>
      <c r="F228" s="34"/>
      <c r="G228" s="35"/>
      <c r="H228" s="34"/>
      <c r="I228" s="16" cm="1">
        <f t="array" ref="I228">SUMPRODUCT((B228:H228&lt;&gt;"")*1+(LEN(B228:H228)-LEN(SUBSTITUTE(B228:H228,",",""))))</f>
        <v>0</v>
      </c>
      <c r="J228" s="32"/>
      <c r="K228" s="33"/>
      <c r="L228" s="16"/>
      <c r="M228" s="13" t="s">
        <v>339</v>
      </c>
      <c r="N228" s="50"/>
      <c r="O228" s="54"/>
      <c r="P228" s="54"/>
      <c r="Q228" s="59" t="s">
        <v>33</v>
      </c>
    </row>
    <row r="229" spans="1:17">
      <c r="A229" s="15" t="s">
        <v>509</v>
      </c>
      <c r="B229" s="34"/>
      <c r="C229" s="38"/>
      <c r="D229" s="34"/>
      <c r="E229" s="38"/>
      <c r="F229" s="34"/>
      <c r="G229" s="38"/>
      <c r="H229" s="34"/>
      <c r="I229" s="13" cm="1">
        <f t="array" ref="I229">SUMPRODUCT((B229:H229&lt;&gt;"")*1+(LEN(B229:H229)-LEN(SUBSTITUTE(B229:H229,",",""))))</f>
        <v>0</v>
      </c>
      <c r="J229" s="36"/>
      <c r="K229" s="37"/>
      <c r="L229" s="13"/>
      <c r="M229" s="13" t="s">
        <v>339</v>
      </c>
      <c r="N229" s="49"/>
      <c r="O229" s="53"/>
      <c r="P229" s="53"/>
      <c r="Q229" s="58" t="s">
        <v>45</v>
      </c>
    </row>
    <row r="230" spans="1:17">
      <c r="A230" s="18" t="s">
        <v>510</v>
      </c>
      <c r="B230" s="34"/>
      <c r="C230" s="35"/>
      <c r="D230" s="34"/>
      <c r="E230" s="35"/>
      <c r="F230" s="34"/>
      <c r="G230" s="35"/>
      <c r="H230" s="34"/>
      <c r="I230" s="16" cm="1">
        <f t="array" ref="I230">SUMPRODUCT((B230:H230&lt;&gt;"")*1+(LEN(B230:H230)-LEN(SUBSTITUTE(B230:H230,",",""))))</f>
        <v>0</v>
      </c>
      <c r="J230" s="32"/>
      <c r="K230" s="33"/>
      <c r="L230" s="16"/>
      <c r="M230" s="13" t="s">
        <v>339</v>
      </c>
      <c r="N230" s="50"/>
      <c r="O230" s="54"/>
      <c r="P230" s="54"/>
      <c r="Q230" s="59" t="s">
        <v>45</v>
      </c>
    </row>
    <row r="231" spans="1:17">
      <c r="A231" s="15" t="s">
        <v>511</v>
      </c>
      <c r="B231" s="34"/>
      <c r="C231" s="38"/>
      <c r="D231" s="34"/>
      <c r="E231" s="38"/>
      <c r="F231" s="34"/>
      <c r="G231" s="38"/>
      <c r="H231" s="34"/>
      <c r="I231" s="13" cm="1">
        <f t="array" ref="I231">SUMPRODUCT((B231:H231&lt;&gt;"")*1+(LEN(B231:H231)-LEN(SUBSTITUTE(B231:H231,",",""))))</f>
        <v>0</v>
      </c>
      <c r="J231" s="36"/>
      <c r="K231" s="37"/>
      <c r="L231" s="13"/>
      <c r="M231" s="13" t="s">
        <v>339</v>
      </c>
      <c r="N231" s="49"/>
      <c r="O231" s="53"/>
      <c r="P231" s="53"/>
      <c r="Q231" s="58" t="s">
        <v>45</v>
      </c>
    </row>
    <row r="232" spans="1:17">
      <c r="A232" s="18" t="s">
        <v>512</v>
      </c>
      <c r="B232" s="34"/>
      <c r="C232" s="35"/>
      <c r="D232" s="34"/>
      <c r="E232" s="35"/>
      <c r="F232" s="34"/>
      <c r="G232" s="35"/>
      <c r="H232" s="34"/>
      <c r="I232" s="16" cm="1">
        <f t="array" ref="I232">SUMPRODUCT((B232:H232&lt;&gt;"")*1+(LEN(B232:H232)-LEN(SUBSTITUTE(B232:H232,",",""))))</f>
        <v>0</v>
      </c>
      <c r="J232" s="32"/>
      <c r="K232" s="33"/>
      <c r="L232" s="16"/>
      <c r="M232" s="13" t="s">
        <v>339</v>
      </c>
      <c r="N232" s="50"/>
      <c r="O232" s="54"/>
      <c r="P232" s="54"/>
      <c r="Q232" s="59" t="s">
        <v>181</v>
      </c>
    </row>
    <row r="233" spans="1:17">
      <c r="A233" s="15" t="s">
        <v>513</v>
      </c>
      <c r="B233" s="34"/>
      <c r="C233" s="38"/>
      <c r="D233" s="34"/>
      <c r="E233" s="38"/>
      <c r="F233" s="34"/>
      <c r="G233" s="38"/>
      <c r="H233" s="34"/>
      <c r="I233" s="13" cm="1">
        <f t="array" ref="I233">SUMPRODUCT((B233:H233&lt;&gt;"")*1+(LEN(B233:H233)-LEN(SUBSTITUTE(B233:H233,",",""))))</f>
        <v>0</v>
      </c>
      <c r="J233" s="36"/>
      <c r="K233" s="37"/>
      <c r="L233" s="13"/>
      <c r="M233" s="13" t="s">
        <v>339</v>
      </c>
      <c r="N233" s="49"/>
      <c r="O233" s="53"/>
      <c r="P233" s="53"/>
      <c r="Q233" s="58" t="s">
        <v>33</v>
      </c>
    </row>
    <row r="234" spans="1:17">
      <c r="A234" s="18" t="s">
        <v>514</v>
      </c>
      <c r="B234" s="34"/>
      <c r="C234" s="35"/>
      <c r="D234" s="34"/>
      <c r="E234" s="35"/>
      <c r="F234" s="34"/>
      <c r="G234" s="35"/>
      <c r="H234" s="34"/>
      <c r="I234" s="16" cm="1">
        <f t="array" ref="I234">SUMPRODUCT((B234:H234&lt;&gt;"")*1+(LEN(B234:H234)-LEN(SUBSTITUTE(B234:H234,",",""))))</f>
        <v>0</v>
      </c>
      <c r="J234" s="32"/>
      <c r="K234" s="33"/>
      <c r="L234" s="16"/>
      <c r="M234" s="13" t="s">
        <v>339</v>
      </c>
      <c r="N234" s="50"/>
      <c r="O234" s="54"/>
      <c r="P234" s="54"/>
      <c r="Q234" s="59" t="s">
        <v>33</v>
      </c>
    </row>
    <row r="235" spans="1:17">
      <c r="A235" s="15" t="s">
        <v>515</v>
      </c>
      <c r="B235" s="34"/>
      <c r="C235" s="38"/>
      <c r="D235" s="34"/>
      <c r="E235" s="38"/>
      <c r="F235" s="34"/>
      <c r="G235" s="38"/>
      <c r="H235" s="34"/>
      <c r="I235" s="13" cm="1">
        <f t="array" ref="I235">SUMPRODUCT((B235:H235&lt;&gt;"")*1+(LEN(B235:H235)-LEN(SUBSTITUTE(B235:H235,",",""))))</f>
        <v>0</v>
      </c>
      <c r="J235" s="36"/>
      <c r="K235" s="37"/>
      <c r="L235" s="13"/>
      <c r="M235" s="13" t="s">
        <v>339</v>
      </c>
      <c r="N235" s="49"/>
      <c r="O235" s="53"/>
      <c r="P235" s="53"/>
      <c r="Q235" s="58" t="s">
        <v>33</v>
      </c>
    </row>
    <row r="236" spans="1:17">
      <c r="A236" s="18" t="s">
        <v>516</v>
      </c>
      <c r="B236" s="34"/>
      <c r="C236" s="35"/>
      <c r="D236" s="34"/>
      <c r="E236" s="35"/>
      <c r="F236" s="34"/>
      <c r="G236" s="35"/>
      <c r="H236" s="34"/>
      <c r="I236" s="16" cm="1">
        <f t="array" ref="I236">SUMPRODUCT((B236:H236&lt;&gt;"")*1+(LEN(B236:H236)-LEN(SUBSTITUTE(B236:H236,",",""))))</f>
        <v>0</v>
      </c>
      <c r="J236" s="32"/>
      <c r="K236" s="33"/>
      <c r="L236" s="16"/>
      <c r="M236" s="13" t="s">
        <v>339</v>
      </c>
      <c r="N236" s="50"/>
      <c r="O236" s="54"/>
      <c r="P236" s="54"/>
      <c r="Q236" s="59" t="s">
        <v>181</v>
      </c>
    </row>
    <row r="237" spans="1:17">
      <c r="A237" s="15" t="s">
        <v>517</v>
      </c>
      <c r="B237" s="34"/>
      <c r="C237" s="38"/>
      <c r="D237" s="34"/>
      <c r="E237" s="38"/>
      <c r="F237" s="34"/>
      <c r="G237" s="38"/>
      <c r="H237" s="34"/>
      <c r="I237" s="13" cm="1">
        <f t="array" ref="I237">SUMPRODUCT((B237:H237&lt;&gt;"")*1+(LEN(B237:H237)-LEN(SUBSTITUTE(B237:H237,",",""))))</f>
        <v>0</v>
      </c>
      <c r="J237" s="36"/>
      <c r="K237" s="37"/>
      <c r="L237" s="13"/>
      <c r="M237" s="13" t="s">
        <v>339</v>
      </c>
      <c r="N237" s="49"/>
      <c r="O237" s="53"/>
      <c r="P237" s="53"/>
      <c r="Q237" s="58" t="s">
        <v>493</v>
      </c>
    </row>
    <row r="238" spans="1:17">
      <c r="A238" s="18" t="s">
        <v>518</v>
      </c>
      <c r="B238" s="34"/>
      <c r="C238" s="35"/>
      <c r="D238" s="34"/>
      <c r="E238" s="35"/>
      <c r="F238" s="34"/>
      <c r="G238" s="35"/>
      <c r="H238" s="34"/>
      <c r="I238" s="16" cm="1">
        <f t="array" ref="I238">SUMPRODUCT((B238:H238&lt;&gt;"")*1+(LEN(B238:H238)-LEN(SUBSTITUTE(B238:H238,",",""))))</f>
        <v>0</v>
      </c>
      <c r="J238" s="32"/>
      <c r="K238" s="33"/>
      <c r="L238" s="16"/>
      <c r="M238" s="13" t="s">
        <v>339</v>
      </c>
      <c r="N238" s="50"/>
      <c r="O238" s="54"/>
      <c r="P238" s="54"/>
      <c r="Q238" s="59" t="s">
        <v>493</v>
      </c>
    </row>
    <row r="239" spans="1:17">
      <c r="A239" s="15" t="s">
        <v>519</v>
      </c>
      <c r="B239" s="34"/>
      <c r="C239" s="38"/>
      <c r="D239" s="34"/>
      <c r="E239" s="38"/>
      <c r="F239" s="34"/>
      <c r="G239" s="38"/>
      <c r="H239" s="34"/>
      <c r="I239" s="13" cm="1">
        <f t="array" ref="I239">SUMPRODUCT((B239:H239&lt;&gt;"")*1+(LEN(B239:H239)-LEN(SUBSTITUTE(B239:H239,",",""))))</f>
        <v>0</v>
      </c>
      <c r="J239" s="36"/>
      <c r="K239" s="37"/>
      <c r="L239" s="13"/>
      <c r="M239" s="13" t="s">
        <v>339</v>
      </c>
      <c r="N239" s="49"/>
      <c r="O239" s="53"/>
      <c r="P239" s="53"/>
      <c r="Q239" s="58" t="s">
        <v>33</v>
      </c>
    </row>
    <row r="240" spans="1:17">
      <c r="A240" s="18" t="s">
        <v>520</v>
      </c>
      <c r="B240" s="34"/>
      <c r="C240" s="35"/>
      <c r="D240" s="34"/>
      <c r="E240" s="35"/>
      <c r="F240" s="34"/>
      <c r="G240" s="35"/>
      <c r="H240" s="34"/>
      <c r="I240" s="16" cm="1">
        <f t="array" ref="I240">SUMPRODUCT((B240:H240&lt;&gt;"")*1+(LEN(B240:H240)-LEN(SUBSTITUTE(B240:H240,",",""))))</f>
        <v>0</v>
      </c>
      <c r="J240" s="32"/>
      <c r="K240" s="33"/>
      <c r="L240" s="16"/>
      <c r="M240" s="13" t="s">
        <v>339</v>
      </c>
      <c r="N240" s="50"/>
      <c r="O240" s="54"/>
      <c r="P240" s="54"/>
      <c r="Q240" s="59" t="s">
        <v>493</v>
      </c>
    </row>
    <row r="241" spans="1:17">
      <c r="A241" s="15" t="s">
        <v>521</v>
      </c>
      <c r="B241" s="34"/>
      <c r="C241" s="38"/>
      <c r="D241" s="34"/>
      <c r="E241" s="38"/>
      <c r="F241" s="34"/>
      <c r="G241" s="38"/>
      <c r="H241" s="34"/>
      <c r="I241" s="13" cm="1">
        <f t="array" ref="I241">SUMPRODUCT((B241:H241&lt;&gt;"")*1+(LEN(B241:H241)-LEN(SUBSTITUTE(B241:H241,",",""))))</f>
        <v>0</v>
      </c>
      <c r="J241" s="36"/>
      <c r="K241" s="37"/>
      <c r="L241" s="13"/>
      <c r="M241" s="13" t="s">
        <v>339</v>
      </c>
      <c r="N241" s="49"/>
      <c r="O241" s="53"/>
      <c r="P241" s="53"/>
      <c r="Q241" s="58" t="s">
        <v>493</v>
      </c>
    </row>
    <row r="242" spans="1:17">
      <c r="A242" s="18" t="s">
        <v>522</v>
      </c>
      <c r="B242" s="34"/>
      <c r="C242" s="35"/>
      <c r="D242" s="34"/>
      <c r="E242" s="35"/>
      <c r="F242" s="34"/>
      <c r="G242" s="35"/>
      <c r="H242" s="34"/>
      <c r="I242" s="16" cm="1">
        <f t="array" ref="I242">SUMPRODUCT((B242:H242&lt;&gt;"")*1+(LEN(B242:H242)-LEN(SUBSTITUTE(B242:H242,",",""))))</f>
        <v>0</v>
      </c>
      <c r="J242" s="32"/>
      <c r="K242" s="33"/>
      <c r="L242" s="16"/>
      <c r="M242" s="13" t="s">
        <v>339</v>
      </c>
      <c r="N242" s="50"/>
      <c r="O242" s="54"/>
      <c r="P242" s="54"/>
      <c r="Q242" s="59" t="s">
        <v>493</v>
      </c>
    </row>
    <row r="243" spans="1:17">
      <c r="A243" s="15" t="s">
        <v>523</v>
      </c>
      <c r="B243" s="34"/>
      <c r="C243" s="38"/>
      <c r="D243" s="34"/>
      <c r="E243" s="38"/>
      <c r="F243" s="34"/>
      <c r="G243" s="38"/>
      <c r="H243" s="34"/>
      <c r="I243" s="13" cm="1">
        <f t="array" ref="I243">SUMPRODUCT((B243:H243&lt;&gt;"")*1+(LEN(B243:H243)-LEN(SUBSTITUTE(B243:H243,",",""))))</f>
        <v>0</v>
      </c>
      <c r="J243" s="36"/>
      <c r="K243" s="37"/>
      <c r="L243" s="13"/>
      <c r="M243" s="13" t="s">
        <v>339</v>
      </c>
      <c r="N243" s="49"/>
      <c r="O243" s="53"/>
      <c r="P243" s="53"/>
      <c r="Q243" s="58" t="s">
        <v>493</v>
      </c>
    </row>
    <row r="244" spans="1:17">
      <c r="A244" s="18" t="s">
        <v>524</v>
      </c>
      <c r="B244" s="34"/>
      <c r="C244" s="35"/>
      <c r="D244" s="34"/>
      <c r="E244" s="35"/>
      <c r="F244" s="34"/>
      <c r="G244" s="35"/>
      <c r="H244" s="34"/>
      <c r="I244" s="16" cm="1">
        <f t="array" ref="I244">SUMPRODUCT((B244:H244&lt;&gt;"")*1+(LEN(B244:H244)-LEN(SUBSTITUTE(B244:H244,",",""))))</f>
        <v>0</v>
      </c>
      <c r="J244" s="32"/>
      <c r="K244" s="33"/>
      <c r="L244" s="16"/>
      <c r="M244" s="13" t="s">
        <v>339</v>
      </c>
      <c r="N244" s="50"/>
      <c r="O244" s="54"/>
      <c r="P244" s="54"/>
      <c r="Q244" s="59" t="s">
        <v>493</v>
      </c>
    </row>
    <row r="245" spans="1:17">
      <c r="A245" s="15" t="s">
        <v>525</v>
      </c>
      <c r="B245" s="34"/>
      <c r="C245" s="38"/>
      <c r="D245" s="34"/>
      <c r="E245" s="38"/>
      <c r="F245" s="34"/>
      <c r="G245" s="38"/>
      <c r="H245" s="34"/>
      <c r="I245" s="13" cm="1">
        <f t="array" ref="I245">SUMPRODUCT((B245:H245&lt;&gt;"")*1+(LEN(B245:H245)-LEN(SUBSTITUTE(B245:H245,",",""))))</f>
        <v>0</v>
      </c>
      <c r="J245" s="36"/>
      <c r="K245" s="37"/>
      <c r="L245" s="13"/>
      <c r="M245" s="13" t="s">
        <v>339</v>
      </c>
      <c r="N245" s="49"/>
      <c r="O245" s="53"/>
      <c r="P245" s="53"/>
      <c r="Q245" s="58" t="s">
        <v>280</v>
      </c>
    </row>
    <row r="246" spans="1:17">
      <c r="A246" s="18" t="s">
        <v>526</v>
      </c>
      <c r="B246" s="34"/>
      <c r="C246" s="35"/>
      <c r="D246" s="34"/>
      <c r="E246" s="35"/>
      <c r="F246" s="34"/>
      <c r="G246" s="35"/>
      <c r="H246" s="34"/>
      <c r="I246" s="16" cm="1">
        <f t="array" ref="I246">SUMPRODUCT((B246:H246&lt;&gt;"")*1+(LEN(B246:H246)-LEN(SUBSTITUTE(B246:H246,",",""))))</f>
        <v>0</v>
      </c>
      <c r="J246" s="32"/>
      <c r="K246" s="33"/>
      <c r="L246" s="16"/>
      <c r="M246" s="13" t="s">
        <v>339</v>
      </c>
      <c r="N246" s="50"/>
      <c r="O246" s="54"/>
      <c r="P246" s="54"/>
      <c r="Q246" s="59" t="s">
        <v>128</v>
      </c>
    </row>
    <row r="247" spans="1:17">
      <c r="A247" s="15" t="s">
        <v>527</v>
      </c>
      <c r="B247" s="34"/>
      <c r="C247" s="38"/>
      <c r="D247" s="34"/>
      <c r="E247" s="38"/>
      <c r="F247" s="34"/>
      <c r="G247" s="38"/>
      <c r="H247" s="34"/>
      <c r="I247" s="13" cm="1">
        <f t="array" ref="I247">SUMPRODUCT((B247:H247&lt;&gt;"")*1+(LEN(B247:H247)-LEN(SUBSTITUTE(B247:H247,",",""))))</f>
        <v>0</v>
      </c>
      <c r="J247" s="36"/>
      <c r="K247" s="37"/>
      <c r="L247" s="13"/>
      <c r="M247" s="13" t="s">
        <v>339</v>
      </c>
      <c r="N247" s="49"/>
      <c r="O247" s="53"/>
      <c r="P247" s="53"/>
      <c r="Q247" s="58" t="s">
        <v>45</v>
      </c>
    </row>
    <row r="248" spans="1:17">
      <c r="A248" s="18" t="s">
        <v>528</v>
      </c>
      <c r="B248" s="34"/>
      <c r="C248" s="35"/>
      <c r="D248" s="34"/>
      <c r="E248" s="35"/>
      <c r="F248" s="34"/>
      <c r="G248" s="35"/>
      <c r="H248" s="34"/>
      <c r="I248" s="16" cm="1">
        <f t="array" ref="I248">SUMPRODUCT((B248:H248&lt;&gt;"")*1+(LEN(B248:H248)-LEN(SUBSTITUTE(B248:H248,",",""))))</f>
        <v>0</v>
      </c>
      <c r="J248" s="32"/>
      <c r="K248" s="33"/>
      <c r="L248" s="16"/>
      <c r="M248" s="13" t="s">
        <v>339</v>
      </c>
      <c r="N248" s="50"/>
      <c r="O248" s="54"/>
      <c r="P248" s="54"/>
      <c r="Q248" s="59" t="s">
        <v>45</v>
      </c>
    </row>
    <row r="249" spans="1:17">
      <c r="A249" s="15" t="s">
        <v>43</v>
      </c>
      <c r="B249" s="34"/>
      <c r="C249" s="38"/>
      <c r="D249" s="34"/>
      <c r="E249" s="38"/>
      <c r="F249" s="34"/>
      <c r="G249" s="38"/>
      <c r="H249" s="34"/>
      <c r="I249" s="13" cm="1">
        <f t="array" ref="I249">SUMPRODUCT((B249:H249&lt;&gt;"")*1+(LEN(B249:H249)-LEN(SUBSTITUTE(B249:H249,",",""))))</f>
        <v>0</v>
      </c>
      <c r="J249" s="36"/>
      <c r="K249" s="37"/>
      <c r="L249" s="13"/>
      <c r="M249" s="13" t="s">
        <v>339</v>
      </c>
      <c r="N249" s="49"/>
      <c r="O249" s="53"/>
      <c r="P249" s="53"/>
      <c r="Q249" s="58" t="s">
        <v>45</v>
      </c>
    </row>
    <row r="250" spans="1:17">
      <c r="A250" s="18" t="s">
        <v>529</v>
      </c>
      <c r="B250" s="34"/>
      <c r="C250" s="35"/>
      <c r="D250" s="34"/>
      <c r="E250" s="35"/>
      <c r="F250" s="34"/>
      <c r="G250" s="35"/>
      <c r="H250" s="34"/>
      <c r="I250" s="16" cm="1">
        <f t="array" ref="I250">SUMPRODUCT((B250:H250&lt;&gt;"")*1+(LEN(B250:H250)-LEN(SUBSTITUTE(B250:H250,",",""))))</f>
        <v>0</v>
      </c>
      <c r="J250" s="32"/>
      <c r="K250" s="33"/>
      <c r="L250" s="16"/>
      <c r="M250" s="13" t="s">
        <v>339</v>
      </c>
      <c r="N250" s="50"/>
      <c r="O250" s="54"/>
      <c r="P250" s="54"/>
      <c r="Q250" s="59" t="s">
        <v>45</v>
      </c>
    </row>
    <row r="251" spans="1:17">
      <c r="A251" s="15" t="s">
        <v>530</v>
      </c>
      <c r="B251" s="34"/>
      <c r="C251" s="38"/>
      <c r="D251" s="34"/>
      <c r="E251" s="38"/>
      <c r="F251" s="34"/>
      <c r="G251" s="38"/>
      <c r="H251" s="34"/>
      <c r="I251" s="13" cm="1">
        <f t="array" ref="I251">SUMPRODUCT((B251:H251&lt;&gt;"")*1+(LEN(B251:H251)-LEN(SUBSTITUTE(B251:H251,",",""))))</f>
        <v>0</v>
      </c>
      <c r="J251" s="36"/>
      <c r="K251" s="37"/>
      <c r="L251" s="13"/>
      <c r="M251" s="13" t="s">
        <v>339</v>
      </c>
      <c r="N251" s="49"/>
      <c r="O251" s="53"/>
      <c r="P251" s="53"/>
      <c r="Q251" s="58" t="s">
        <v>45</v>
      </c>
    </row>
    <row r="252" spans="1:17">
      <c r="A252" s="18" t="s">
        <v>531</v>
      </c>
      <c r="B252" s="34"/>
      <c r="C252" s="35"/>
      <c r="D252" s="34"/>
      <c r="E252" s="35"/>
      <c r="F252" s="34"/>
      <c r="G252" s="35"/>
      <c r="H252" s="34"/>
      <c r="I252" s="16" cm="1">
        <f t="array" ref="I252">SUMPRODUCT((B252:H252&lt;&gt;"")*1+(LEN(B252:H252)-LEN(SUBSTITUTE(B252:H252,",",""))))</f>
        <v>0</v>
      </c>
      <c r="J252" s="32"/>
      <c r="K252" s="33"/>
      <c r="L252" s="16"/>
      <c r="M252" s="13" t="s">
        <v>339</v>
      </c>
      <c r="N252" s="50"/>
      <c r="O252" s="54"/>
      <c r="P252" s="54"/>
      <c r="Q252" s="59" t="s">
        <v>45</v>
      </c>
    </row>
    <row r="253" spans="1:17">
      <c r="A253" s="15" t="s">
        <v>293</v>
      </c>
      <c r="B253" s="34"/>
      <c r="C253" s="38"/>
      <c r="D253" s="34"/>
      <c r="E253" s="38"/>
      <c r="F253" s="34"/>
      <c r="G253" s="38"/>
      <c r="H253" s="34"/>
      <c r="I253" s="13" cm="1">
        <f t="array" ref="I253">SUMPRODUCT((B253:H253&lt;&gt;"")*1+(LEN(B253:H253)-LEN(SUBSTITUTE(B253:H253,",",""))))</f>
        <v>0</v>
      </c>
      <c r="J253" s="36"/>
      <c r="K253" s="37"/>
      <c r="L253" s="13"/>
      <c r="M253" s="13" t="s">
        <v>339</v>
      </c>
      <c r="N253" s="49"/>
      <c r="O253" s="53"/>
      <c r="P253" s="53"/>
      <c r="Q253" s="58" t="s">
        <v>45</v>
      </c>
    </row>
    <row r="254" spans="1:17">
      <c r="A254" s="18" t="s">
        <v>532</v>
      </c>
      <c r="B254" s="34"/>
      <c r="C254" s="35"/>
      <c r="D254" s="34"/>
      <c r="E254" s="35"/>
      <c r="F254" s="34"/>
      <c r="G254" s="35"/>
      <c r="H254" s="34"/>
      <c r="I254" s="16" cm="1">
        <f t="array" ref="I254">SUMPRODUCT((B254:H254&lt;&gt;"")*1+(LEN(B254:H254)-LEN(SUBSTITUTE(B254:H254,",",""))))</f>
        <v>0</v>
      </c>
      <c r="J254" s="32"/>
      <c r="K254" s="33"/>
      <c r="L254" s="16"/>
      <c r="M254" s="13" t="s">
        <v>339</v>
      </c>
      <c r="N254" s="50"/>
      <c r="O254" s="54"/>
      <c r="P254" s="54"/>
      <c r="Q254" s="59" t="s">
        <v>45</v>
      </c>
    </row>
    <row r="255" spans="1:17">
      <c r="A255" s="15" t="s">
        <v>533</v>
      </c>
      <c r="B255" s="34"/>
      <c r="C255" s="38"/>
      <c r="D255" s="34"/>
      <c r="E255" s="38"/>
      <c r="F255" s="34"/>
      <c r="G255" s="38"/>
      <c r="H255" s="34"/>
      <c r="I255" s="13" cm="1">
        <f t="array" ref="I255">SUMPRODUCT((B255:H255&lt;&gt;"")*1+(LEN(B255:H255)-LEN(SUBSTITUTE(B255:H255,",",""))))</f>
        <v>0</v>
      </c>
      <c r="J255" s="36"/>
      <c r="K255" s="37"/>
      <c r="L255" s="13"/>
      <c r="M255" s="13" t="s">
        <v>339</v>
      </c>
      <c r="N255" s="49"/>
      <c r="O255" s="53"/>
      <c r="P255" s="53"/>
      <c r="Q255" s="58" t="s">
        <v>45</v>
      </c>
    </row>
    <row r="256" spans="1:17">
      <c r="A256" s="18" t="s">
        <v>534</v>
      </c>
      <c r="B256" s="34"/>
      <c r="C256" s="35"/>
      <c r="D256" s="34"/>
      <c r="E256" s="35"/>
      <c r="F256" s="34"/>
      <c r="G256" s="35"/>
      <c r="H256" s="34"/>
      <c r="I256" s="16" cm="1">
        <f t="array" ref="I256">SUMPRODUCT((B256:H256&lt;&gt;"")*1+(LEN(B256:H256)-LEN(SUBSTITUTE(B256:H256,",",""))))</f>
        <v>0</v>
      </c>
      <c r="J256" s="32"/>
      <c r="K256" s="33"/>
      <c r="L256" s="16"/>
      <c r="M256" s="13" t="s">
        <v>339</v>
      </c>
      <c r="N256" s="50"/>
      <c r="O256" s="54"/>
      <c r="P256" s="54"/>
      <c r="Q256" s="59" t="s">
        <v>280</v>
      </c>
    </row>
    <row r="257" spans="1:17">
      <c r="A257" s="15" t="s">
        <v>535</v>
      </c>
      <c r="B257" s="34"/>
      <c r="C257" s="38"/>
      <c r="D257" s="34"/>
      <c r="E257" s="38"/>
      <c r="F257" s="34"/>
      <c r="G257" s="38"/>
      <c r="H257" s="34"/>
      <c r="I257" s="13" cm="1">
        <f t="array" ref="I257">SUMPRODUCT((B257:H257&lt;&gt;"")*1+(LEN(B257:H257)-LEN(SUBSTITUTE(B257:H257,",",""))))</f>
        <v>0</v>
      </c>
      <c r="J257" s="36"/>
      <c r="K257" s="37"/>
      <c r="L257" s="13"/>
      <c r="M257" s="13" t="s">
        <v>339</v>
      </c>
      <c r="N257" s="49"/>
      <c r="O257" s="53"/>
      <c r="P257" s="53"/>
      <c r="Q257" s="58" t="s">
        <v>280</v>
      </c>
    </row>
    <row r="258" spans="1:17">
      <c r="A258" s="18" t="s">
        <v>536</v>
      </c>
      <c r="B258" s="34"/>
      <c r="C258" s="35"/>
      <c r="D258" s="34"/>
      <c r="E258" s="35"/>
      <c r="F258" s="34"/>
      <c r="G258" s="35"/>
      <c r="H258" s="34"/>
      <c r="I258" s="16" cm="1">
        <f t="array" ref="I258">SUMPRODUCT((B258:H258&lt;&gt;"")*1+(LEN(B258:H258)-LEN(SUBSTITUTE(B258:H258,",",""))))</f>
        <v>0</v>
      </c>
      <c r="J258" s="32"/>
      <c r="K258" s="33"/>
      <c r="L258" s="16"/>
      <c r="M258" s="13" t="s">
        <v>339</v>
      </c>
      <c r="N258" s="50"/>
      <c r="O258" s="54"/>
      <c r="P258" s="54"/>
      <c r="Q258" s="59" t="s">
        <v>280</v>
      </c>
    </row>
    <row r="259" spans="1:17">
      <c r="A259" s="15" t="s">
        <v>537</v>
      </c>
      <c r="B259" s="34"/>
      <c r="C259" s="38"/>
      <c r="D259" s="34"/>
      <c r="E259" s="38"/>
      <c r="F259" s="34"/>
      <c r="G259" s="38"/>
      <c r="H259" s="34"/>
      <c r="I259" s="13" cm="1">
        <f t="array" ref="I259">SUMPRODUCT((B259:H259&lt;&gt;"")*1+(LEN(B259:H259)-LEN(SUBSTITUTE(B259:H259,",",""))))</f>
        <v>0</v>
      </c>
      <c r="J259" s="36"/>
      <c r="K259" s="37"/>
      <c r="L259" s="13"/>
      <c r="M259" s="13" t="s">
        <v>339</v>
      </c>
      <c r="N259" s="49"/>
      <c r="O259" s="53"/>
      <c r="P259" s="53"/>
      <c r="Q259" s="58" t="s">
        <v>280</v>
      </c>
    </row>
    <row r="260" spans="1:17">
      <c r="A260" s="18" t="s">
        <v>538</v>
      </c>
      <c r="B260" s="34"/>
      <c r="C260" s="35"/>
      <c r="D260" s="34"/>
      <c r="E260" s="35"/>
      <c r="F260" s="34"/>
      <c r="G260" s="35"/>
      <c r="H260" s="34"/>
      <c r="I260" s="16" cm="1">
        <f t="array" ref="I260">SUMPRODUCT((B260:H260&lt;&gt;"")*1+(LEN(B260:H260)-LEN(SUBSTITUTE(B260:H260,",",""))))</f>
        <v>0</v>
      </c>
      <c r="J260" s="32"/>
      <c r="K260" s="33"/>
      <c r="L260" s="16"/>
      <c r="M260" s="13" t="s">
        <v>339</v>
      </c>
      <c r="N260" s="50"/>
      <c r="O260" s="54"/>
      <c r="P260" s="54"/>
      <c r="Q260" s="59" t="s">
        <v>280</v>
      </c>
    </row>
    <row r="261" spans="1:17">
      <c r="A261" s="15" t="s">
        <v>539</v>
      </c>
      <c r="B261" s="34"/>
      <c r="C261" s="38"/>
      <c r="D261" s="34"/>
      <c r="E261" s="38"/>
      <c r="F261" s="34"/>
      <c r="G261" s="38"/>
      <c r="H261" s="34"/>
      <c r="I261" s="13" cm="1">
        <f t="array" ref="I261">SUMPRODUCT((B261:H261&lt;&gt;"")*1+(LEN(B261:H261)-LEN(SUBSTITUTE(B261:H261,",",""))))</f>
        <v>0</v>
      </c>
      <c r="J261" s="36"/>
      <c r="K261" s="37"/>
      <c r="L261" s="13"/>
      <c r="M261" s="13" t="s">
        <v>339</v>
      </c>
      <c r="N261" s="49"/>
      <c r="O261" s="53"/>
      <c r="P261" s="53"/>
      <c r="Q261" s="58" t="s">
        <v>280</v>
      </c>
    </row>
    <row r="262" spans="1:17">
      <c r="A262" s="18" t="s">
        <v>540</v>
      </c>
      <c r="B262" s="34"/>
      <c r="C262" s="35"/>
      <c r="D262" s="34"/>
      <c r="E262" s="35"/>
      <c r="F262" s="34"/>
      <c r="G262" s="35"/>
      <c r="H262" s="34"/>
      <c r="I262" s="16" cm="1">
        <f t="array" ref="I262">SUMPRODUCT((B262:H262&lt;&gt;"")*1+(LEN(B262:H262)-LEN(SUBSTITUTE(B262:H262,",",""))))</f>
        <v>0</v>
      </c>
      <c r="J262" s="32"/>
      <c r="K262" s="33"/>
      <c r="L262" s="16"/>
      <c r="M262" s="13" t="s">
        <v>339</v>
      </c>
      <c r="N262" s="50"/>
      <c r="O262" s="54"/>
      <c r="P262" s="54"/>
      <c r="Q262" s="59" t="s">
        <v>280</v>
      </c>
    </row>
    <row r="263" spans="1:17">
      <c r="A263" s="15" t="s">
        <v>541</v>
      </c>
      <c r="B263" s="34"/>
      <c r="C263" s="38"/>
      <c r="D263" s="34"/>
      <c r="E263" s="38"/>
      <c r="F263" s="34"/>
      <c r="G263" s="38"/>
      <c r="H263" s="34"/>
      <c r="I263" s="13" cm="1">
        <f t="array" ref="I263">SUMPRODUCT((B263:H263&lt;&gt;"")*1+(LEN(B263:H263)-LEN(SUBSTITUTE(B263:H263,",",""))))</f>
        <v>0</v>
      </c>
      <c r="J263" s="36"/>
      <c r="K263" s="37"/>
      <c r="L263" s="13"/>
      <c r="M263" s="13" t="s">
        <v>339</v>
      </c>
      <c r="N263" s="49"/>
      <c r="O263" s="53"/>
      <c r="P263" s="53"/>
      <c r="Q263" s="58" t="s">
        <v>280</v>
      </c>
    </row>
    <row r="264" spans="1:17">
      <c r="A264" s="18" t="s">
        <v>542</v>
      </c>
      <c r="B264" s="34"/>
      <c r="C264" s="35"/>
      <c r="D264" s="34"/>
      <c r="E264" s="35"/>
      <c r="F264" s="34"/>
      <c r="G264" s="35"/>
      <c r="H264" s="34"/>
      <c r="I264" s="16" cm="1">
        <f t="array" ref="I264">SUMPRODUCT((B264:H264&lt;&gt;"")*1+(LEN(B264:H264)-LEN(SUBSTITUTE(B264:H264,",",""))))</f>
        <v>0</v>
      </c>
      <c r="J264" s="32"/>
      <c r="K264" s="33"/>
      <c r="L264" s="16"/>
      <c r="M264" s="13" t="s">
        <v>339</v>
      </c>
      <c r="N264" s="50"/>
      <c r="O264" s="54"/>
      <c r="P264" s="54"/>
      <c r="Q264" s="59" t="s">
        <v>280</v>
      </c>
    </row>
    <row r="265" spans="1:17">
      <c r="A265" s="15" t="s">
        <v>543</v>
      </c>
      <c r="B265" s="34"/>
      <c r="C265" s="38"/>
      <c r="D265" s="34"/>
      <c r="E265" s="38"/>
      <c r="F265" s="34"/>
      <c r="G265" s="38"/>
      <c r="H265" s="34"/>
      <c r="I265" s="13" cm="1">
        <f t="array" ref="I265">SUMPRODUCT((B265:H265&lt;&gt;"")*1+(LEN(B265:H265)-LEN(SUBSTITUTE(B265:H265,",",""))))</f>
        <v>0</v>
      </c>
      <c r="J265" s="36"/>
      <c r="K265" s="37"/>
      <c r="L265" s="13"/>
      <c r="M265" s="13" t="s">
        <v>339</v>
      </c>
      <c r="N265" s="49"/>
      <c r="O265" s="53"/>
      <c r="P265" s="53"/>
      <c r="Q265" s="58" t="s">
        <v>246</v>
      </c>
    </row>
    <row r="266" spans="1:17">
      <c r="A266" s="18" t="s">
        <v>544</v>
      </c>
      <c r="B266" s="34"/>
      <c r="C266" s="35"/>
      <c r="D266" s="34"/>
      <c r="E266" s="35"/>
      <c r="F266" s="34"/>
      <c r="G266" s="35"/>
      <c r="H266" s="34"/>
      <c r="I266" s="16" cm="1">
        <f t="array" ref="I266">SUMPRODUCT((B266:H266&lt;&gt;"")*1+(LEN(B266:H266)-LEN(SUBSTITUTE(B266:H266,",",""))))</f>
        <v>0</v>
      </c>
      <c r="J266" s="32"/>
      <c r="K266" s="33"/>
      <c r="L266" s="16"/>
      <c r="M266" s="13" t="s">
        <v>339</v>
      </c>
      <c r="N266" s="50"/>
      <c r="O266" s="54"/>
      <c r="P266" s="54"/>
      <c r="Q266" s="59" t="s">
        <v>246</v>
      </c>
    </row>
    <row r="267" spans="1:17">
      <c r="A267" s="15" t="s">
        <v>545</v>
      </c>
      <c r="B267" s="34"/>
      <c r="C267" s="38"/>
      <c r="D267" s="34"/>
      <c r="E267" s="38"/>
      <c r="F267" s="34"/>
      <c r="G267" s="38"/>
      <c r="H267" s="34"/>
      <c r="I267" s="13" cm="1">
        <f t="array" ref="I267">SUMPRODUCT((B267:H267&lt;&gt;"")*1+(LEN(B267:H267)-LEN(SUBSTITUTE(B267:H267,",",""))))</f>
        <v>0</v>
      </c>
      <c r="J267" s="36"/>
      <c r="K267" s="37"/>
      <c r="L267" s="13"/>
      <c r="M267" s="13" t="s">
        <v>339</v>
      </c>
      <c r="N267" s="49"/>
      <c r="O267" s="53"/>
      <c r="P267" s="53"/>
      <c r="Q267" s="58" t="s">
        <v>493</v>
      </c>
    </row>
    <row r="268" spans="1:17">
      <c r="A268" s="18" t="s">
        <v>546</v>
      </c>
      <c r="B268" s="34"/>
      <c r="C268" s="35"/>
      <c r="D268" s="34"/>
      <c r="E268" s="35"/>
      <c r="F268" s="34"/>
      <c r="G268" s="35"/>
      <c r="H268" s="34"/>
      <c r="I268" s="16" cm="1">
        <f t="array" ref="I268">SUMPRODUCT((B268:H268&lt;&gt;"")*1+(LEN(B268:H268)-LEN(SUBSTITUTE(B268:H268,",",""))))</f>
        <v>0</v>
      </c>
      <c r="J268" s="32"/>
      <c r="K268" s="33"/>
      <c r="L268" s="16"/>
      <c r="M268" s="13" t="s">
        <v>339</v>
      </c>
      <c r="N268" s="50"/>
      <c r="O268" s="54"/>
      <c r="P268" s="54"/>
      <c r="Q268" s="59" t="s">
        <v>169</v>
      </c>
    </row>
    <row r="269" spans="1:17">
      <c r="A269" s="15" t="s">
        <v>547</v>
      </c>
      <c r="B269" s="34"/>
      <c r="C269" s="38"/>
      <c r="D269" s="34"/>
      <c r="E269" s="38"/>
      <c r="F269" s="34"/>
      <c r="G269" s="38"/>
      <c r="H269" s="34"/>
      <c r="I269" s="13" cm="1">
        <f t="array" ref="I269">SUMPRODUCT((B269:H269&lt;&gt;"")*1+(LEN(B269:H269)-LEN(SUBSTITUTE(B269:H269,",",""))))</f>
        <v>0</v>
      </c>
      <c r="J269" s="36"/>
      <c r="K269" s="37"/>
      <c r="L269" s="13"/>
      <c r="M269" s="13" t="s">
        <v>339</v>
      </c>
      <c r="N269" s="49"/>
      <c r="O269" s="53"/>
      <c r="P269" s="53"/>
      <c r="Q269" s="58" t="s">
        <v>169</v>
      </c>
    </row>
    <row r="270" spans="1:17">
      <c r="A270" s="18" t="s">
        <v>548</v>
      </c>
      <c r="B270" s="34"/>
      <c r="C270" s="35"/>
      <c r="D270" s="34"/>
      <c r="E270" s="35"/>
      <c r="F270" s="34"/>
      <c r="G270" s="35"/>
      <c r="H270" s="34"/>
      <c r="I270" s="16" cm="1">
        <f t="array" ref="I270">SUMPRODUCT((B270:H270&lt;&gt;"")*1+(LEN(B270:H270)-LEN(SUBSTITUTE(B270:H270,",",""))))</f>
        <v>0</v>
      </c>
      <c r="J270" s="32"/>
      <c r="K270" s="33"/>
      <c r="L270" s="16"/>
      <c r="M270" s="13" t="s">
        <v>339</v>
      </c>
      <c r="N270" s="50"/>
      <c r="O270" s="54"/>
      <c r="P270" s="54"/>
      <c r="Q270" s="59" t="s">
        <v>169</v>
      </c>
    </row>
    <row r="271" spans="1:17">
      <c r="A271" s="15" t="s">
        <v>549</v>
      </c>
      <c r="B271" s="34"/>
      <c r="C271" s="38"/>
      <c r="D271" s="34"/>
      <c r="E271" s="38"/>
      <c r="F271" s="34"/>
      <c r="G271" s="38"/>
      <c r="H271" s="34"/>
      <c r="I271" s="13" cm="1">
        <f t="array" ref="I271">SUMPRODUCT((B271:H271&lt;&gt;"")*1+(LEN(B271:H271)-LEN(SUBSTITUTE(B271:H271,",",""))))</f>
        <v>0</v>
      </c>
      <c r="J271" s="36"/>
      <c r="K271" s="37"/>
      <c r="L271" s="13"/>
      <c r="M271" s="13" t="s">
        <v>339</v>
      </c>
      <c r="N271" s="49"/>
      <c r="O271" s="53"/>
      <c r="P271" s="53"/>
      <c r="Q271" s="58" t="s">
        <v>169</v>
      </c>
    </row>
    <row r="272" spans="1:17">
      <c r="A272" s="18" t="s">
        <v>550</v>
      </c>
      <c r="B272" s="34"/>
      <c r="C272" s="35"/>
      <c r="D272" s="34"/>
      <c r="E272" s="35"/>
      <c r="F272" s="34"/>
      <c r="G272" s="35"/>
      <c r="H272" s="34"/>
      <c r="I272" s="16" cm="1">
        <f t="array" ref="I272">SUMPRODUCT((B272:H272&lt;&gt;"")*1+(LEN(B272:H272)-LEN(SUBSTITUTE(B272:H272,",",""))))</f>
        <v>0</v>
      </c>
      <c r="J272" s="32"/>
      <c r="K272" s="33"/>
      <c r="L272" s="16"/>
      <c r="M272" s="13" t="s">
        <v>339</v>
      </c>
      <c r="N272" s="50"/>
      <c r="O272" s="54"/>
      <c r="P272" s="54"/>
      <c r="Q272" s="59" t="s">
        <v>169</v>
      </c>
    </row>
    <row r="273" spans="1:17">
      <c r="A273" s="15" t="s">
        <v>551</v>
      </c>
      <c r="B273" s="34"/>
      <c r="C273" s="38"/>
      <c r="D273" s="34"/>
      <c r="E273" s="38"/>
      <c r="F273" s="34"/>
      <c r="G273" s="38"/>
      <c r="H273" s="34"/>
      <c r="I273" s="13" cm="1">
        <f t="array" ref="I273">SUMPRODUCT((B273:H273&lt;&gt;"")*1+(LEN(B273:H273)-LEN(SUBSTITUTE(B273:H273,",",""))))</f>
        <v>0</v>
      </c>
      <c r="J273" s="36"/>
      <c r="K273" s="37"/>
      <c r="L273" s="13"/>
      <c r="M273" s="13" t="s">
        <v>339</v>
      </c>
      <c r="N273" s="49"/>
      <c r="O273" s="53"/>
      <c r="P273" s="53"/>
      <c r="Q273" s="58" t="s">
        <v>169</v>
      </c>
    </row>
    <row r="274" spans="1:17">
      <c r="A274" s="18" t="s">
        <v>552</v>
      </c>
      <c r="B274" s="34"/>
      <c r="C274" s="35"/>
      <c r="D274" s="34"/>
      <c r="E274" s="35"/>
      <c r="F274" s="34"/>
      <c r="G274" s="35"/>
      <c r="H274" s="34"/>
      <c r="I274" s="16" cm="1">
        <f t="array" ref="I274">SUMPRODUCT((B274:H274&lt;&gt;"")*1+(LEN(B274:H274)-LEN(SUBSTITUTE(B274:H274,",",""))))</f>
        <v>0</v>
      </c>
      <c r="J274" s="32"/>
      <c r="K274" s="33"/>
      <c r="L274" s="16"/>
      <c r="M274" s="13" t="s">
        <v>339</v>
      </c>
      <c r="N274" s="50"/>
      <c r="O274" s="54"/>
      <c r="P274" s="54"/>
      <c r="Q274" s="59" t="s">
        <v>169</v>
      </c>
    </row>
    <row r="275" spans="1:17">
      <c r="A275" s="15" t="s">
        <v>553</v>
      </c>
      <c r="B275" s="34"/>
      <c r="C275" s="38"/>
      <c r="D275" s="34"/>
      <c r="E275" s="38"/>
      <c r="F275" s="34"/>
      <c r="G275" s="38"/>
      <c r="H275" s="34"/>
      <c r="I275" s="13" cm="1">
        <f t="array" ref="I275">SUMPRODUCT((B275:H275&lt;&gt;"")*1+(LEN(B275:H275)-LEN(SUBSTITUTE(B275:H275,",",""))))</f>
        <v>0</v>
      </c>
      <c r="J275" s="36"/>
      <c r="K275" s="37"/>
      <c r="L275" s="13"/>
      <c r="M275" s="13" t="s">
        <v>339</v>
      </c>
      <c r="N275" s="49"/>
      <c r="O275" s="53"/>
      <c r="P275" s="53"/>
      <c r="Q275" s="58" t="s">
        <v>169</v>
      </c>
    </row>
    <row r="276" spans="1:17">
      <c r="A276" s="18" t="s">
        <v>554</v>
      </c>
      <c r="B276" s="34"/>
      <c r="C276" s="35"/>
      <c r="D276" s="34"/>
      <c r="E276" s="35"/>
      <c r="F276" s="34"/>
      <c r="G276" s="35"/>
      <c r="H276" s="34"/>
      <c r="I276" s="16" cm="1">
        <f t="array" ref="I276">SUMPRODUCT((B276:H276&lt;&gt;"")*1+(LEN(B276:H276)-LEN(SUBSTITUTE(B276:H276,",",""))))</f>
        <v>0</v>
      </c>
      <c r="J276" s="32"/>
      <c r="K276" s="33"/>
      <c r="L276" s="16"/>
      <c r="M276" s="13" t="s">
        <v>339</v>
      </c>
      <c r="N276" s="50"/>
      <c r="O276" s="54"/>
      <c r="P276" s="54"/>
      <c r="Q276" s="59" t="s">
        <v>169</v>
      </c>
    </row>
    <row r="277" spans="1:17">
      <c r="A277" s="15" t="s">
        <v>555</v>
      </c>
      <c r="B277" s="34"/>
      <c r="C277" s="38"/>
      <c r="D277" s="34"/>
      <c r="E277" s="38"/>
      <c r="F277" s="34"/>
      <c r="G277" s="38"/>
      <c r="H277" s="34"/>
      <c r="I277" s="13" cm="1">
        <f t="array" ref="I277">SUMPRODUCT((B277:H277&lt;&gt;"")*1+(LEN(B277:H277)-LEN(SUBSTITUTE(B277:H277,",",""))))</f>
        <v>0</v>
      </c>
      <c r="J277" s="36"/>
      <c r="K277" s="37"/>
      <c r="L277" s="13"/>
      <c r="M277" s="13" t="s">
        <v>339</v>
      </c>
      <c r="N277" s="49"/>
      <c r="O277" s="53"/>
      <c r="P277" s="53"/>
      <c r="Q277" s="58" t="s">
        <v>169</v>
      </c>
    </row>
    <row r="278" spans="1:17">
      <c r="A278" s="18" t="s">
        <v>556</v>
      </c>
      <c r="B278" s="34"/>
      <c r="C278" s="35"/>
      <c r="D278" s="34"/>
      <c r="E278" s="35"/>
      <c r="F278" s="34"/>
      <c r="G278" s="35"/>
      <c r="H278" s="34"/>
      <c r="I278" s="16" cm="1">
        <f t="array" ref="I278">SUMPRODUCT((B278:H278&lt;&gt;"")*1+(LEN(B278:H278)-LEN(SUBSTITUTE(B278:H278,",",""))))</f>
        <v>0</v>
      </c>
      <c r="J278" s="32"/>
      <c r="K278" s="33"/>
      <c r="L278" s="16"/>
      <c r="M278" s="13" t="s">
        <v>339</v>
      </c>
      <c r="N278" s="50"/>
      <c r="O278" s="54"/>
      <c r="P278" s="54"/>
      <c r="Q278" s="59" t="s">
        <v>169</v>
      </c>
    </row>
    <row r="279" spans="1:17">
      <c r="A279" s="15" t="s">
        <v>557</v>
      </c>
      <c r="B279" s="34"/>
      <c r="C279" s="38"/>
      <c r="D279" s="34"/>
      <c r="E279" s="38"/>
      <c r="F279" s="34"/>
      <c r="G279" s="38"/>
      <c r="H279" s="34"/>
      <c r="I279" s="13" cm="1">
        <f t="array" ref="I279">SUMPRODUCT((B279:H279&lt;&gt;"")*1+(LEN(B279:H279)-LEN(SUBSTITUTE(B279:H279,",",""))))</f>
        <v>0</v>
      </c>
      <c r="J279" s="36"/>
      <c r="K279" s="37"/>
      <c r="L279" s="13"/>
      <c r="M279" s="13" t="s">
        <v>339</v>
      </c>
      <c r="N279" s="49"/>
      <c r="O279" s="53"/>
      <c r="P279" s="53"/>
      <c r="Q279" s="58" t="s">
        <v>169</v>
      </c>
    </row>
    <row r="280" spans="1:17">
      <c r="A280" s="18" t="s">
        <v>558</v>
      </c>
      <c r="B280" s="34"/>
      <c r="C280" s="35"/>
      <c r="D280" s="34"/>
      <c r="E280" s="35"/>
      <c r="F280" s="34"/>
      <c r="G280" s="35"/>
      <c r="H280" s="34"/>
      <c r="I280" s="16" cm="1">
        <f t="array" ref="I280">SUMPRODUCT((B280:H280&lt;&gt;"")*1+(LEN(B280:H280)-LEN(SUBSTITUTE(B280:H280,",",""))))</f>
        <v>0</v>
      </c>
      <c r="J280" s="32"/>
      <c r="K280" s="33"/>
      <c r="L280" s="16"/>
      <c r="M280" s="13" t="s">
        <v>339</v>
      </c>
      <c r="N280" s="50"/>
      <c r="O280" s="54"/>
      <c r="P280" s="54"/>
      <c r="Q280" s="59" t="s">
        <v>169</v>
      </c>
    </row>
    <row r="281" spans="1:17">
      <c r="A281" s="15" t="s">
        <v>559</v>
      </c>
      <c r="B281" s="34"/>
      <c r="C281" s="38"/>
      <c r="D281" s="34"/>
      <c r="E281" s="38"/>
      <c r="F281" s="34"/>
      <c r="G281" s="38"/>
      <c r="H281" s="34"/>
      <c r="I281" s="13" cm="1">
        <f t="array" ref="I281">SUMPRODUCT((B281:H281&lt;&gt;"")*1+(LEN(B281:H281)-LEN(SUBSTITUTE(B281:H281,",",""))))</f>
        <v>0</v>
      </c>
      <c r="J281" s="36"/>
      <c r="K281" s="37"/>
      <c r="L281" s="13"/>
      <c r="M281" s="13" t="s">
        <v>339</v>
      </c>
      <c r="N281" s="49"/>
      <c r="O281" s="53"/>
      <c r="P281" s="53"/>
      <c r="Q281" s="58" t="s">
        <v>181</v>
      </c>
    </row>
    <row r="282" spans="1:17">
      <c r="A282" s="18" t="s">
        <v>560</v>
      </c>
      <c r="B282" s="34"/>
      <c r="C282" s="35"/>
      <c r="D282" s="34"/>
      <c r="E282" s="35"/>
      <c r="F282" s="34"/>
      <c r="G282" s="35"/>
      <c r="H282" s="34"/>
      <c r="I282" s="16" cm="1">
        <f t="array" ref="I282">SUMPRODUCT((B282:H282&lt;&gt;"")*1+(LEN(B282:H282)-LEN(SUBSTITUTE(B282:H282,",",""))))</f>
        <v>0</v>
      </c>
      <c r="J282" s="32"/>
      <c r="K282" s="33"/>
      <c r="L282" s="16"/>
      <c r="M282" s="13" t="s">
        <v>339</v>
      </c>
      <c r="N282" s="50"/>
      <c r="O282" s="54"/>
      <c r="P282" s="54"/>
      <c r="Q282" s="59" t="s">
        <v>181</v>
      </c>
    </row>
    <row r="283" spans="1:17">
      <c r="A283" s="15" t="s">
        <v>561</v>
      </c>
      <c r="B283" s="34"/>
      <c r="C283" s="38"/>
      <c r="D283" s="34"/>
      <c r="E283" s="38"/>
      <c r="F283" s="34"/>
      <c r="G283" s="38"/>
      <c r="H283" s="34"/>
      <c r="I283" s="13" cm="1">
        <f t="array" ref="I283">SUMPRODUCT((B283:H283&lt;&gt;"")*1+(LEN(B283:H283)-LEN(SUBSTITUTE(B283:H283,",",""))))</f>
        <v>0</v>
      </c>
      <c r="J283" s="36"/>
      <c r="K283" s="37"/>
      <c r="L283" s="13"/>
      <c r="M283" s="13" t="s">
        <v>339</v>
      </c>
      <c r="N283" s="49"/>
      <c r="O283" s="53"/>
      <c r="P283" s="53"/>
      <c r="Q283" s="58" t="s">
        <v>181</v>
      </c>
    </row>
    <row r="284" spans="1:17">
      <c r="A284" s="18" t="s">
        <v>562</v>
      </c>
      <c r="B284" s="34"/>
      <c r="C284" s="35"/>
      <c r="D284" s="34"/>
      <c r="E284" s="35"/>
      <c r="F284" s="34"/>
      <c r="G284" s="35"/>
      <c r="H284" s="34"/>
      <c r="I284" s="16" cm="1">
        <f t="array" ref="I284">SUMPRODUCT((B284:H284&lt;&gt;"")*1+(LEN(B284:H284)-LEN(SUBSTITUTE(B284:H284,",",""))))</f>
        <v>0</v>
      </c>
      <c r="J284" s="32"/>
      <c r="K284" s="33"/>
      <c r="L284" s="16"/>
      <c r="M284" s="13" t="s">
        <v>339</v>
      </c>
      <c r="N284" s="50"/>
      <c r="O284" s="54"/>
      <c r="P284" s="54"/>
      <c r="Q284" s="59" t="s">
        <v>45</v>
      </c>
    </row>
    <row r="285" spans="1:17">
      <c r="A285" s="15" t="s">
        <v>563</v>
      </c>
      <c r="B285" s="34"/>
      <c r="C285" s="38"/>
      <c r="D285" s="34"/>
      <c r="E285" s="38"/>
      <c r="F285" s="34"/>
      <c r="G285" s="38"/>
      <c r="H285" s="34"/>
      <c r="I285" s="13" cm="1">
        <f t="array" ref="I285">SUMPRODUCT((B285:H285&lt;&gt;"")*1+(LEN(B285:H285)-LEN(SUBSTITUTE(B285:H285,",",""))))</f>
        <v>0</v>
      </c>
      <c r="J285" s="36"/>
      <c r="K285" s="37"/>
      <c r="L285" s="13"/>
      <c r="M285" s="13" t="s">
        <v>339</v>
      </c>
      <c r="N285" s="49"/>
      <c r="O285" s="53"/>
      <c r="P285" s="53"/>
      <c r="Q285" s="58" t="s">
        <v>564</v>
      </c>
    </row>
    <row r="286" spans="1:17">
      <c r="A286" s="18" t="s">
        <v>565</v>
      </c>
      <c r="B286" s="34"/>
      <c r="C286" s="35"/>
      <c r="D286" s="34"/>
      <c r="E286" s="35"/>
      <c r="F286" s="34"/>
      <c r="G286" s="35"/>
      <c r="H286" s="34"/>
      <c r="I286" s="16" cm="1">
        <f t="array" ref="I286">SUMPRODUCT((B286:H286&lt;&gt;"")*1+(LEN(B286:H286)-LEN(SUBSTITUTE(B286:H286,",",""))))</f>
        <v>0</v>
      </c>
      <c r="J286" s="32"/>
      <c r="K286" s="33"/>
      <c r="L286" s="16"/>
      <c r="M286" s="13" t="s">
        <v>339</v>
      </c>
      <c r="N286" s="50"/>
      <c r="O286" s="54"/>
      <c r="P286" s="54"/>
      <c r="Q286" s="59" t="s">
        <v>229</v>
      </c>
    </row>
    <row r="287" spans="1:17">
      <c r="A287" s="15" t="s">
        <v>566</v>
      </c>
      <c r="B287" s="34"/>
      <c r="C287" s="38"/>
      <c r="D287" s="34"/>
      <c r="E287" s="38"/>
      <c r="F287" s="34"/>
      <c r="G287" s="38"/>
      <c r="H287" s="34"/>
      <c r="I287" s="13" cm="1">
        <f t="array" ref="I287">SUMPRODUCT((B287:H287&lt;&gt;"")*1+(LEN(B287:H287)-LEN(SUBSTITUTE(B287:H287,",",""))))</f>
        <v>0</v>
      </c>
      <c r="J287" s="36"/>
      <c r="K287" s="37"/>
      <c r="L287" s="13"/>
      <c r="M287" s="13" t="s">
        <v>339</v>
      </c>
      <c r="N287" s="49"/>
      <c r="O287" s="53"/>
      <c r="P287" s="53"/>
      <c r="Q287" s="58" t="s">
        <v>169</v>
      </c>
    </row>
    <row r="288" spans="1:17">
      <c r="A288" s="18" t="s">
        <v>567</v>
      </c>
      <c r="B288" s="34"/>
      <c r="C288" s="35"/>
      <c r="D288" s="34"/>
      <c r="E288" s="35"/>
      <c r="F288" s="34"/>
      <c r="G288" s="35"/>
      <c r="H288" s="34"/>
      <c r="I288" s="16" cm="1">
        <f t="array" ref="I288">SUMPRODUCT((B288:H288&lt;&gt;"")*1+(LEN(B288:H288)-LEN(SUBSTITUTE(B288:H288,",",""))))</f>
        <v>0</v>
      </c>
      <c r="J288" s="32"/>
      <c r="K288" s="33"/>
      <c r="L288" s="16"/>
      <c r="M288" s="13" t="s">
        <v>339</v>
      </c>
      <c r="N288" s="50"/>
      <c r="O288" s="54"/>
      <c r="P288" s="54"/>
      <c r="Q288" s="59" t="s">
        <v>229</v>
      </c>
    </row>
    <row r="289" spans="1:17">
      <c r="A289" s="15" t="s">
        <v>568</v>
      </c>
      <c r="B289" s="34"/>
      <c r="C289" s="38"/>
      <c r="D289" s="34"/>
      <c r="E289" s="38"/>
      <c r="F289" s="34"/>
      <c r="G289" s="38"/>
      <c r="H289" s="34"/>
      <c r="I289" s="13" cm="1">
        <f t="array" ref="I289">SUMPRODUCT((B289:H289&lt;&gt;"")*1+(LEN(B289:H289)-LEN(SUBSTITUTE(B289:H289,",",""))))</f>
        <v>0</v>
      </c>
      <c r="J289" s="36"/>
      <c r="K289" s="37"/>
      <c r="L289" s="13"/>
      <c r="M289" s="13" t="s">
        <v>339</v>
      </c>
      <c r="N289" s="49"/>
      <c r="O289" s="53"/>
      <c r="P289" s="53"/>
      <c r="Q289" s="58" t="s">
        <v>229</v>
      </c>
    </row>
    <row r="290" spans="1:17">
      <c r="A290" s="18" t="s">
        <v>569</v>
      </c>
      <c r="B290" s="34"/>
      <c r="C290" s="35"/>
      <c r="D290" s="34"/>
      <c r="E290" s="35"/>
      <c r="F290" s="34"/>
      <c r="G290" s="35"/>
      <c r="H290" s="34"/>
      <c r="I290" s="16" cm="1">
        <f t="array" ref="I290">SUMPRODUCT((B290:H290&lt;&gt;"")*1+(LEN(B290:H290)-LEN(SUBSTITUTE(B290:H290,",",""))))</f>
        <v>0</v>
      </c>
      <c r="J290" s="32"/>
      <c r="K290" s="33"/>
      <c r="L290" s="16"/>
      <c r="M290" s="13" t="s">
        <v>339</v>
      </c>
      <c r="N290" s="50"/>
      <c r="O290" s="54"/>
      <c r="P290" s="54"/>
      <c r="Q290" s="59" t="s">
        <v>229</v>
      </c>
    </row>
    <row r="291" spans="1:17">
      <c r="A291" s="15" t="s">
        <v>570</v>
      </c>
      <c r="B291" s="34"/>
      <c r="C291" s="38"/>
      <c r="D291" s="34"/>
      <c r="E291" s="38"/>
      <c r="F291" s="34"/>
      <c r="G291" s="38"/>
      <c r="H291" s="34"/>
      <c r="I291" s="13" cm="1">
        <f t="array" ref="I291">SUMPRODUCT((B291:H291&lt;&gt;"")*1+(LEN(B291:H291)-LEN(SUBSTITUTE(B291:H291,",",""))))</f>
        <v>0</v>
      </c>
      <c r="J291" s="36"/>
      <c r="K291" s="37"/>
      <c r="L291" s="13"/>
      <c r="M291" s="13" t="s">
        <v>339</v>
      </c>
      <c r="N291" s="49"/>
      <c r="O291" s="53"/>
      <c r="P291" s="53"/>
      <c r="Q291" s="58" t="s">
        <v>229</v>
      </c>
    </row>
    <row r="292" spans="1:17">
      <c r="A292" s="18" t="s">
        <v>571</v>
      </c>
      <c r="B292" s="34"/>
      <c r="C292" s="35"/>
      <c r="D292" s="34"/>
      <c r="E292" s="35"/>
      <c r="F292" s="34"/>
      <c r="G292" s="35"/>
      <c r="H292" s="34"/>
      <c r="I292" s="16" cm="1">
        <f t="array" ref="I292">SUMPRODUCT((B292:H292&lt;&gt;"")*1+(LEN(B292:H292)-LEN(SUBSTITUTE(B292:H292,",",""))))</f>
        <v>0</v>
      </c>
      <c r="J292" s="32"/>
      <c r="K292" s="33"/>
      <c r="L292" s="16"/>
      <c r="M292" s="13" t="s">
        <v>339</v>
      </c>
      <c r="N292" s="50"/>
      <c r="O292" s="54"/>
      <c r="P292" s="54"/>
      <c r="Q292" s="59" t="s">
        <v>564</v>
      </c>
    </row>
    <row r="293" spans="1:17">
      <c r="A293" s="18" t="s">
        <v>572</v>
      </c>
      <c r="B293" s="34"/>
      <c r="C293" s="35"/>
      <c r="D293" s="34"/>
      <c r="E293" s="35"/>
      <c r="F293" s="34"/>
      <c r="G293" s="35"/>
      <c r="H293" s="34"/>
      <c r="I293" s="16" cm="1">
        <f t="array" ref="I293">SUMPRODUCT((B293:H293&lt;&gt;"")*1+(LEN(B293:H293)-LEN(SUBSTITUTE(B293:H293,",",""))))</f>
        <v>0</v>
      </c>
      <c r="J293" s="32"/>
      <c r="K293" s="33"/>
      <c r="L293" s="16"/>
      <c r="M293" s="13" t="s">
        <v>339</v>
      </c>
      <c r="N293" s="50"/>
      <c r="O293" s="54"/>
      <c r="P293" s="54"/>
      <c r="Q293" s="59" t="s">
        <v>564</v>
      </c>
    </row>
    <row r="294" spans="1:17">
      <c r="A294" s="15" t="s">
        <v>573</v>
      </c>
      <c r="B294" s="34"/>
      <c r="C294" s="38"/>
      <c r="D294" s="34"/>
      <c r="E294" s="38"/>
      <c r="F294" s="34"/>
      <c r="G294" s="38"/>
      <c r="H294" s="34"/>
      <c r="I294" s="13" cm="1">
        <f t="array" ref="I294">SUMPRODUCT((B294:H294&lt;&gt;"")*1+(LEN(B294:H294)-LEN(SUBSTITUTE(B294:H294,",",""))))</f>
        <v>0</v>
      </c>
      <c r="J294" s="36"/>
      <c r="K294" s="37"/>
      <c r="L294" s="13"/>
      <c r="M294" s="13" t="s">
        <v>339</v>
      </c>
      <c r="N294" s="49"/>
      <c r="O294" s="53"/>
      <c r="P294" s="53"/>
      <c r="Q294" s="58" t="s">
        <v>564</v>
      </c>
    </row>
    <row r="295" spans="1:17">
      <c r="A295" s="18" t="s">
        <v>574</v>
      </c>
      <c r="B295" s="34"/>
      <c r="C295" s="35"/>
      <c r="D295" s="34"/>
      <c r="E295" s="35"/>
      <c r="F295" s="34"/>
      <c r="G295" s="35"/>
      <c r="H295" s="34"/>
      <c r="I295" s="16" cm="1">
        <f t="array" ref="I295">SUMPRODUCT((B295:H295&lt;&gt;"")*1+(LEN(B295:H295)-LEN(SUBSTITUTE(B295:H295,",",""))))</f>
        <v>0</v>
      </c>
      <c r="J295" s="32"/>
      <c r="K295" s="33"/>
      <c r="L295" s="16"/>
      <c r="M295" s="13" t="s">
        <v>339</v>
      </c>
      <c r="N295" s="50"/>
      <c r="O295" s="54"/>
      <c r="P295" s="54"/>
      <c r="Q295" s="59" t="s">
        <v>575</v>
      </c>
    </row>
    <row r="296" spans="1:17">
      <c r="A296" s="15" t="s">
        <v>576</v>
      </c>
      <c r="B296" s="34"/>
      <c r="C296" s="38"/>
      <c r="D296" s="34"/>
      <c r="E296" s="38"/>
      <c r="F296" s="34"/>
      <c r="G296" s="38"/>
      <c r="H296" s="34"/>
      <c r="I296" s="13" cm="1">
        <f t="array" ref="I296">SUMPRODUCT((B296:H296&lt;&gt;"")*1+(LEN(B296:H296)-LEN(SUBSTITUTE(B296:H296,",",""))))</f>
        <v>0</v>
      </c>
      <c r="J296" s="36"/>
      <c r="K296" s="37"/>
      <c r="L296" s="13"/>
      <c r="M296" s="13" t="s">
        <v>339</v>
      </c>
      <c r="N296" s="49"/>
      <c r="O296" s="53"/>
      <c r="P296" s="53"/>
      <c r="Q296" s="58" t="s">
        <v>575</v>
      </c>
    </row>
    <row r="297" spans="1:17">
      <c r="A297" s="18" t="s">
        <v>577</v>
      </c>
      <c r="B297" s="34"/>
      <c r="C297" s="35"/>
      <c r="D297" s="34"/>
      <c r="E297" s="35"/>
      <c r="F297" s="34"/>
      <c r="G297" s="35"/>
      <c r="H297" s="34"/>
      <c r="I297" s="16" cm="1">
        <f t="array" ref="I297">SUMPRODUCT((B297:H297&lt;&gt;"")*1+(LEN(B297:H297)-LEN(SUBSTITUTE(B297:H297,",",""))))</f>
        <v>0</v>
      </c>
      <c r="J297" s="32"/>
      <c r="K297" s="33"/>
      <c r="L297" s="16"/>
      <c r="M297" s="13" t="s">
        <v>339</v>
      </c>
      <c r="N297" s="50"/>
      <c r="O297" s="54"/>
      <c r="P297" s="54"/>
      <c r="Q297" s="59" t="s">
        <v>103</v>
      </c>
    </row>
    <row r="298" spans="1:17">
      <c r="A298" s="15" t="s">
        <v>578</v>
      </c>
      <c r="B298" s="34"/>
      <c r="C298" s="38"/>
      <c r="D298" s="34"/>
      <c r="E298" s="38"/>
      <c r="F298" s="34"/>
      <c r="G298" s="38"/>
      <c r="H298" s="34"/>
      <c r="I298" s="13" cm="1">
        <f t="array" ref="I298">SUMPRODUCT((B298:H298&lt;&gt;"")*1+(LEN(B298:H298)-LEN(SUBSTITUTE(B298:H298,",",""))))</f>
        <v>0</v>
      </c>
      <c r="J298" s="36"/>
      <c r="K298" s="37"/>
      <c r="L298" s="13"/>
      <c r="M298" s="13" t="s">
        <v>339</v>
      </c>
      <c r="N298" s="49"/>
      <c r="O298" s="53"/>
      <c r="P298" s="53"/>
      <c r="Q298" s="58" t="s">
        <v>575</v>
      </c>
    </row>
    <row r="299" spans="1:17">
      <c r="A299" s="18" t="s">
        <v>579</v>
      </c>
      <c r="B299" s="34"/>
      <c r="C299" s="35"/>
      <c r="D299" s="34"/>
      <c r="E299" s="35"/>
      <c r="F299" s="34"/>
      <c r="G299" s="35"/>
      <c r="H299" s="34"/>
      <c r="I299" s="16" cm="1">
        <f t="array" ref="I299">SUMPRODUCT((B299:H299&lt;&gt;"")*1+(LEN(B299:H299)-LEN(SUBSTITUTE(B299:H299,",",""))))</f>
        <v>0</v>
      </c>
      <c r="J299" s="32"/>
      <c r="K299" s="33"/>
      <c r="L299" s="16"/>
      <c r="M299" s="13" t="s">
        <v>339</v>
      </c>
      <c r="N299" s="50"/>
      <c r="O299" s="54"/>
      <c r="P299" s="54"/>
      <c r="Q299" s="59" t="s">
        <v>564</v>
      </c>
    </row>
    <row r="300" spans="1:17">
      <c r="A300" s="15" t="s">
        <v>580</v>
      </c>
      <c r="B300" s="34"/>
      <c r="C300" s="38"/>
      <c r="D300" s="34"/>
      <c r="E300" s="38"/>
      <c r="F300" s="34"/>
      <c r="G300" s="38"/>
      <c r="H300" s="34"/>
      <c r="I300" s="13" cm="1">
        <f t="array" ref="I300">SUMPRODUCT((B300:H300&lt;&gt;"")*1+(LEN(B300:H300)-LEN(SUBSTITUTE(B300:H300,",",""))))</f>
        <v>0</v>
      </c>
      <c r="J300" s="36"/>
      <c r="K300" s="37"/>
      <c r="L300" s="13"/>
      <c r="M300" s="13" t="s">
        <v>339</v>
      </c>
      <c r="N300" s="49"/>
      <c r="O300" s="53"/>
      <c r="P300" s="53"/>
      <c r="Q300" s="58" t="s">
        <v>229</v>
      </c>
    </row>
    <row r="301" spans="1:17">
      <c r="A301" s="18" t="s">
        <v>581</v>
      </c>
      <c r="B301" s="34"/>
      <c r="C301" s="35"/>
      <c r="D301" s="34"/>
      <c r="E301" s="35"/>
      <c r="F301" s="34"/>
      <c r="G301" s="35"/>
      <c r="H301" s="34"/>
      <c r="I301" s="16" cm="1">
        <f t="array" ref="I301">SUMPRODUCT((B301:H301&lt;&gt;"")*1+(LEN(B301:H301)-LEN(SUBSTITUTE(B301:H301,",",""))))</f>
        <v>0</v>
      </c>
      <c r="J301" s="32"/>
      <c r="K301" s="33"/>
      <c r="L301" s="16"/>
      <c r="M301" s="13" t="s">
        <v>339</v>
      </c>
      <c r="N301" s="50"/>
      <c r="O301" s="54"/>
      <c r="P301" s="54"/>
      <c r="Q301" s="59" t="s">
        <v>564</v>
      </c>
    </row>
    <row r="302" spans="1:17">
      <c r="A302" s="15" t="s">
        <v>582</v>
      </c>
      <c r="B302" s="34"/>
      <c r="C302" s="38"/>
      <c r="D302" s="34"/>
      <c r="E302" s="38"/>
      <c r="F302" s="34"/>
      <c r="G302" s="38"/>
      <c r="H302" s="34"/>
      <c r="I302" s="13" cm="1">
        <f t="array" ref="I302">SUMPRODUCT((B302:H302&lt;&gt;"")*1+(LEN(B302:H302)-LEN(SUBSTITUTE(B302:H302,",",""))))</f>
        <v>0</v>
      </c>
      <c r="J302" s="36"/>
      <c r="K302" s="37"/>
      <c r="L302" s="13"/>
      <c r="M302" s="13" t="s">
        <v>339</v>
      </c>
      <c r="N302" s="49"/>
      <c r="O302" s="53"/>
      <c r="P302" s="53"/>
      <c r="Q302" s="58" t="s">
        <v>564</v>
      </c>
    </row>
    <row r="303" spans="1:17">
      <c r="A303" s="18" t="s">
        <v>583</v>
      </c>
      <c r="B303" s="34"/>
      <c r="C303" s="35"/>
      <c r="D303" s="34"/>
      <c r="E303" s="35"/>
      <c r="F303" s="34"/>
      <c r="G303" s="35"/>
      <c r="H303" s="34"/>
      <c r="I303" s="16" cm="1">
        <f t="array" ref="I303">SUMPRODUCT((B303:H303&lt;&gt;"")*1+(LEN(B303:H303)-LEN(SUBSTITUTE(B303:H303,",",""))))</f>
        <v>0</v>
      </c>
      <c r="J303" s="32"/>
      <c r="K303" s="33"/>
      <c r="L303" s="16"/>
      <c r="M303" s="13" t="s">
        <v>339</v>
      </c>
      <c r="N303" s="50"/>
      <c r="O303" s="54"/>
      <c r="P303" s="54"/>
      <c r="Q303" s="59" t="s">
        <v>229</v>
      </c>
    </row>
    <row r="304" spans="1:17">
      <c r="A304" s="15" t="s">
        <v>584</v>
      </c>
      <c r="B304" s="34"/>
      <c r="C304" s="38"/>
      <c r="D304" s="34"/>
      <c r="E304" s="38"/>
      <c r="F304" s="34"/>
      <c r="G304" s="38"/>
      <c r="H304" s="34"/>
      <c r="I304" s="13" cm="1">
        <f t="array" ref="I304">SUMPRODUCT((B304:H304&lt;&gt;"")*1+(LEN(B304:H304)-LEN(SUBSTITUTE(B304:H304,",",""))))</f>
        <v>0</v>
      </c>
      <c r="J304" s="36"/>
      <c r="K304" s="37"/>
      <c r="L304" s="13"/>
      <c r="M304" s="13" t="s">
        <v>339</v>
      </c>
      <c r="N304" s="49"/>
      <c r="O304" s="53"/>
      <c r="P304" s="53"/>
      <c r="Q304" s="58" t="s">
        <v>229</v>
      </c>
    </row>
    <row r="305" spans="1:17">
      <c r="A305" s="18" t="s">
        <v>585</v>
      </c>
      <c r="B305" s="34"/>
      <c r="C305" s="35"/>
      <c r="D305" s="34"/>
      <c r="E305" s="35"/>
      <c r="F305" s="34"/>
      <c r="G305" s="35"/>
      <c r="H305" s="34"/>
      <c r="I305" s="16" cm="1">
        <f t="array" ref="I305">SUMPRODUCT((B305:H305&lt;&gt;"")*1+(LEN(B305:H305)-LEN(SUBSTITUTE(B305:H305,",",""))))</f>
        <v>0</v>
      </c>
      <c r="J305" s="32"/>
      <c r="K305" s="33"/>
      <c r="L305" s="16"/>
      <c r="M305" s="13" t="s">
        <v>339</v>
      </c>
      <c r="N305" s="50"/>
      <c r="O305" s="54"/>
      <c r="P305" s="54"/>
      <c r="Q305" s="59" t="s">
        <v>564</v>
      </c>
    </row>
    <row r="306" spans="1:17">
      <c r="A306" s="15" t="s">
        <v>586</v>
      </c>
      <c r="B306" s="34"/>
      <c r="C306" s="38"/>
      <c r="D306" s="34"/>
      <c r="E306" s="38"/>
      <c r="F306" s="34"/>
      <c r="G306" s="38"/>
      <c r="H306" s="34"/>
      <c r="I306" s="13" cm="1">
        <f t="array" ref="I306">SUMPRODUCT((B306:H306&lt;&gt;"")*1+(LEN(B306:H306)-LEN(SUBSTITUTE(B306:H306,",",""))))</f>
        <v>0</v>
      </c>
      <c r="J306" s="36"/>
      <c r="K306" s="37"/>
      <c r="L306" s="13"/>
      <c r="M306" s="13" t="s">
        <v>339</v>
      </c>
      <c r="N306" s="49"/>
      <c r="O306" s="53"/>
      <c r="P306" s="53"/>
      <c r="Q306" s="58" t="s">
        <v>564</v>
      </c>
    </row>
    <row r="307" spans="1:17">
      <c r="A307" s="18" t="s">
        <v>587</v>
      </c>
      <c r="B307" s="34"/>
      <c r="C307" s="35"/>
      <c r="D307" s="34"/>
      <c r="E307" s="35"/>
      <c r="F307" s="34"/>
      <c r="G307" s="35"/>
      <c r="H307" s="34"/>
      <c r="I307" s="16" cm="1">
        <f t="array" ref="I307">SUMPRODUCT((B307:H307&lt;&gt;"")*1+(LEN(B307:H307)-LEN(SUBSTITUTE(B307:H307,",",""))))</f>
        <v>0</v>
      </c>
      <c r="J307" s="32"/>
      <c r="K307" s="33"/>
      <c r="L307" s="16"/>
      <c r="M307" s="13" t="s">
        <v>339</v>
      </c>
      <c r="N307" s="50"/>
      <c r="O307" s="54"/>
      <c r="P307" s="54"/>
      <c r="Q307" s="59" t="s">
        <v>564</v>
      </c>
    </row>
    <row r="308" spans="1:17">
      <c r="A308" s="15" t="s">
        <v>588</v>
      </c>
      <c r="B308" s="34"/>
      <c r="C308" s="38"/>
      <c r="D308" s="34"/>
      <c r="E308" s="38"/>
      <c r="F308" s="34"/>
      <c r="G308" s="38"/>
      <c r="H308" s="34"/>
      <c r="I308" s="13" cm="1">
        <f t="array" ref="I308">SUMPRODUCT((B308:H308&lt;&gt;"")*1+(LEN(B308:H308)-LEN(SUBSTITUTE(B308:H308,",",""))))</f>
        <v>0</v>
      </c>
      <c r="J308" s="36"/>
      <c r="K308" s="37"/>
      <c r="L308" s="13"/>
      <c r="M308" s="13" t="s">
        <v>339</v>
      </c>
      <c r="N308" s="49"/>
      <c r="O308" s="53"/>
      <c r="P308" s="53"/>
      <c r="Q308" s="58" t="s">
        <v>229</v>
      </c>
    </row>
    <row r="309" spans="1:17">
      <c r="A309" s="18" t="s">
        <v>589</v>
      </c>
      <c r="B309" s="34"/>
      <c r="C309" s="35"/>
      <c r="D309" s="34"/>
      <c r="E309" s="35"/>
      <c r="F309" s="34"/>
      <c r="G309" s="35"/>
      <c r="H309" s="34"/>
      <c r="I309" s="16" cm="1">
        <f t="array" ref="I309">SUMPRODUCT((B309:H309&lt;&gt;"")*1+(LEN(B309:H309)-LEN(SUBSTITUTE(B309:H309,",",""))))</f>
        <v>0</v>
      </c>
      <c r="J309" s="32"/>
      <c r="K309" s="33"/>
      <c r="L309" s="16"/>
      <c r="M309" s="13" t="s">
        <v>339</v>
      </c>
      <c r="N309" s="50"/>
      <c r="O309" s="54"/>
      <c r="P309" s="54"/>
      <c r="Q309" s="59" t="s">
        <v>564</v>
      </c>
    </row>
    <row r="310" spans="1:17">
      <c r="A310" s="15" t="s">
        <v>590</v>
      </c>
      <c r="B310" s="34"/>
      <c r="C310" s="38"/>
      <c r="D310" s="34"/>
      <c r="E310" s="38"/>
      <c r="F310" s="34"/>
      <c r="G310" s="38"/>
      <c r="H310" s="34"/>
      <c r="I310" s="13" cm="1">
        <f t="array" ref="I310">SUMPRODUCT((B310:H310&lt;&gt;"")*1+(LEN(B310:H310)-LEN(SUBSTITUTE(B310:H310,",",""))))</f>
        <v>0</v>
      </c>
      <c r="J310" s="36"/>
      <c r="K310" s="37"/>
      <c r="L310" s="13"/>
      <c r="M310" s="13" t="s">
        <v>339</v>
      </c>
      <c r="N310" s="49"/>
      <c r="O310" s="53"/>
      <c r="P310" s="53"/>
      <c r="Q310" s="58" t="s">
        <v>229</v>
      </c>
    </row>
    <row r="311" spans="1:17">
      <c r="A311" s="18" t="s">
        <v>591</v>
      </c>
      <c r="B311" s="34"/>
      <c r="C311" s="35"/>
      <c r="D311" s="34"/>
      <c r="E311" s="35"/>
      <c r="F311" s="34"/>
      <c r="G311" s="35"/>
      <c r="H311" s="34"/>
      <c r="I311" s="16" cm="1">
        <f t="array" ref="I311">SUMPRODUCT((B311:H311&lt;&gt;"")*1+(LEN(B311:H311)-LEN(SUBSTITUTE(B311:H311,",",""))))</f>
        <v>0</v>
      </c>
      <c r="J311" s="32"/>
      <c r="K311" s="33"/>
      <c r="L311" s="16"/>
      <c r="M311" s="13" t="s">
        <v>339</v>
      </c>
      <c r="N311" s="50"/>
      <c r="O311" s="54"/>
      <c r="P311" s="54"/>
      <c r="Q311" s="59" t="s">
        <v>229</v>
      </c>
    </row>
    <row r="312" spans="1:17">
      <c r="A312" s="15" t="s">
        <v>592</v>
      </c>
      <c r="B312" s="34"/>
      <c r="C312" s="38"/>
      <c r="D312" s="34"/>
      <c r="E312" s="38"/>
      <c r="F312" s="34"/>
      <c r="G312" s="38"/>
      <c r="H312" s="34"/>
      <c r="I312" s="13" cm="1">
        <f t="array" ref="I312">SUMPRODUCT((B312:H312&lt;&gt;"")*1+(LEN(B312:H312)-LEN(SUBSTITUTE(B312:H312,",",""))))</f>
        <v>0</v>
      </c>
      <c r="J312" s="36"/>
      <c r="K312" s="37"/>
      <c r="L312" s="13"/>
      <c r="M312" s="13" t="s">
        <v>339</v>
      </c>
      <c r="N312" s="49"/>
      <c r="O312" s="53"/>
      <c r="P312" s="53"/>
      <c r="Q312" s="58" t="s">
        <v>564</v>
      </c>
    </row>
    <row r="313" spans="1:17">
      <c r="A313" s="18" t="s">
        <v>593</v>
      </c>
      <c r="B313" s="34"/>
      <c r="C313" s="35"/>
      <c r="D313" s="34"/>
      <c r="E313" s="35"/>
      <c r="F313" s="34"/>
      <c r="G313" s="35"/>
      <c r="H313" s="34"/>
      <c r="I313" s="16" cm="1">
        <f t="array" ref="I313">SUMPRODUCT((B313:H313&lt;&gt;"")*1+(LEN(B313:H313)-LEN(SUBSTITUTE(B313:H313,",",""))))</f>
        <v>0</v>
      </c>
      <c r="J313" s="32"/>
      <c r="K313" s="33"/>
      <c r="L313" s="16"/>
      <c r="M313" s="13" t="s">
        <v>339</v>
      </c>
      <c r="N313" s="50"/>
      <c r="O313" s="54"/>
      <c r="P313" s="54"/>
      <c r="Q313" s="59" t="s">
        <v>564</v>
      </c>
    </row>
    <row r="314" spans="1:17">
      <c r="A314" s="15" t="s">
        <v>594</v>
      </c>
      <c r="B314" s="34"/>
      <c r="C314" s="38"/>
      <c r="D314" s="34"/>
      <c r="E314" s="38"/>
      <c r="F314" s="34"/>
      <c r="G314" s="38"/>
      <c r="H314" s="34"/>
      <c r="I314" s="13" cm="1">
        <f t="array" ref="I314">SUMPRODUCT((B314:H314&lt;&gt;"")*1+(LEN(B314:H314)-LEN(SUBSTITUTE(B314:H314,",",""))))</f>
        <v>0</v>
      </c>
      <c r="J314" s="36"/>
      <c r="K314" s="37"/>
      <c r="L314" s="13"/>
      <c r="M314" s="13" t="s">
        <v>339</v>
      </c>
      <c r="N314" s="49"/>
      <c r="O314" s="53"/>
      <c r="P314" s="53"/>
      <c r="Q314" s="58" t="s">
        <v>229</v>
      </c>
    </row>
    <row r="315" spans="1:17">
      <c r="A315" s="18" t="s">
        <v>595</v>
      </c>
      <c r="B315" s="34"/>
      <c r="C315" s="35"/>
      <c r="D315" s="34"/>
      <c r="E315" s="35"/>
      <c r="F315" s="34"/>
      <c r="G315" s="35"/>
      <c r="H315" s="34"/>
      <c r="I315" s="16" cm="1">
        <f t="array" ref="I315">SUMPRODUCT((B315:H315&lt;&gt;"")*1+(LEN(B315:H315)-LEN(SUBSTITUTE(B315:H315,",",""))))</f>
        <v>0</v>
      </c>
      <c r="J315" s="32"/>
      <c r="K315" s="33"/>
      <c r="L315" s="16"/>
      <c r="M315" s="13" t="s">
        <v>339</v>
      </c>
      <c r="N315" s="50"/>
      <c r="O315" s="54"/>
      <c r="P315" s="54"/>
      <c r="Q315" s="59" t="s">
        <v>564</v>
      </c>
    </row>
    <row r="316" spans="1:17">
      <c r="A316" s="15" t="s">
        <v>596</v>
      </c>
      <c r="B316" s="34"/>
      <c r="C316" s="38"/>
      <c r="D316" s="34"/>
      <c r="E316" s="38"/>
      <c r="F316" s="34"/>
      <c r="G316" s="38"/>
      <c r="H316" s="34"/>
      <c r="I316" s="13" cm="1">
        <f t="array" ref="I316">SUMPRODUCT((B316:H316&lt;&gt;"")*1+(LEN(B316:H316)-LEN(SUBSTITUTE(B316:H316,",",""))))</f>
        <v>0</v>
      </c>
      <c r="J316" s="36"/>
      <c r="K316" s="37"/>
      <c r="L316" s="13"/>
      <c r="M316" s="13" t="s">
        <v>339</v>
      </c>
      <c r="N316" s="49"/>
      <c r="O316" s="53"/>
      <c r="P316" s="53"/>
      <c r="Q316" s="58" t="s">
        <v>229</v>
      </c>
    </row>
    <row r="317" spans="1:17">
      <c r="A317" s="18" t="s">
        <v>597</v>
      </c>
      <c r="B317" s="34"/>
      <c r="C317" s="35"/>
      <c r="D317" s="34"/>
      <c r="E317" s="35"/>
      <c r="F317" s="34"/>
      <c r="G317" s="35"/>
      <c r="H317" s="34"/>
      <c r="I317" s="16" cm="1">
        <f t="array" ref="I317">SUMPRODUCT((B317:H317&lt;&gt;"")*1+(LEN(B317:H317)-LEN(SUBSTITUTE(B317:H317,",",""))))</f>
        <v>0</v>
      </c>
      <c r="J317" s="32"/>
      <c r="K317" s="33"/>
      <c r="L317" s="16"/>
      <c r="M317" s="13" t="s">
        <v>339</v>
      </c>
      <c r="N317" s="50"/>
      <c r="O317" s="54"/>
      <c r="P317" s="54"/>
      <c r="Q317" s="59" t="s">
        <v>564</v>
      </c>
    </row>
    <row r="318" spans="1:17">
      <c r="A318" s="15" t="s">
        <v>598</v>
      </c>
      <c r="B318" s="34"/>
      <c r="C318" s="38"/>
      <c r="D318" s="34"/>
      <c r="E318" s="38"/>
      <c r="F318" s="34"/>
      <c r="G318" s="38"/>
      <c r="H318" s="34"/>
      <c r="I318" s="13" cm="1">
        <f t="array" ref="I318">SUMPRODUCT((B318:H318&lt;&gt;"")*1+(LEN(B318:H318)-LEN(SUBSTITUTE(B318:H318,",",""))))</f>
        <v>0</v>
      </c>
      <c r="J318" s="36"/>
      <c r="K318" s="37"/>
      <c r="L318" s="13"/>
      <c r="M318" s="13" t="s">
        <v>339</v>
      </c>
      <c r="N318" s="49"/>
      <c r="O318" s="53"/>
      <c r="P318" s="53"/>
      <c r="Q318" s="58" t="s">
        <v>599</v>
      </c>
    </row>
    <row r="319" spans="1:17">
      <c r="A319" s="18" t="s">
        <v>600</v>
      </c>
      <c r="B319" s="34"/>
      <c r="C319" s="35"/>
      <c r="D319" s="34"/>
      <c r="E319" s="35"/>
      <c r="F319" s="34"/>
      <c r="G319" s="35"/>
      <c r="H319" s="34"/>
      <c r="I319" s="16" cm="1">
        <f t="array" ref="I319">SUMPRODUCT((B319:H319&lt;&gt;"")*1+(LEN(B319:H319)-LEN(SUBSTITUTE(B319:H319,",",""))))</f>
        <v>0</v>
      </c>
      <c r="J319" s="32"/>
      <c r="K319" s="33"/>
      <c r="L319" s="16"/>
      <c r="M319" s="13" t="s">
        <v>339</v>
      </c>
      <c r="N319" s="50"/>
      <c r="O319" s="54"/>
      <c r="P319" s="54"/>
      <c r="Q319" s="59" t="s">
        <v>599</v>
      </c>
    </row>
    <row r="320" spans="1:17">
      <c r="A320" s="15" t="s">
        <v>601</v>
      </c>
      <c r="B320" s="34"/>
      <c r="C320" s="38"/>
      <c r="D320" s="34"/>
      <c r="E320" s="38"/>
      <c r="F320" s="34"/>
      <c r="G320" s="38"/>
      <c r="H320" s="34"/>
      <c r="I320" s="13" cm="1">
        <f t="array" ref="I320">SUMPRODUCT((B320:H320&lt;&gt;"")*1+(LEN(B320:H320)-LEN(SUBSTITUTE(B320:H320,",",""))))</f>
        <v>0</v>
      </c>
      <c r="J320" s="36"/>
      <c r="K320" s="37"/>
      <c r="L320" s="13"/>
      <c r="M320" s="13" t="s">
        <v>339</v>
      </c>
      <c r="N320" s="49"/>
      <c r="O320" s="53"/>
      <c r="P320" s="53"/>
      <c r="Q320" s="58" t="s">
        <v>599</v>
      </c>
    </row>
    <row r="321" spans="1:17">
      <c r="A321" s="18" t="s">
        <v>602</v>
      </c>
      <c r="B321" s="34"/>
      <c r="C321" s="35"/>
      <c r="D321" s="34"/>
      <c r="E321" s="35"/>
      <c r="F321" s="34"/>
      <c r="G321" s="35"/>
      <c r="H321" s="34"/>
      <c r="I321" s="16" cm="1">
        <f t="array" ref="I321">SUMPRODUCT((B321:H321&lt;&gt;"")*1+(LEN(B321:H321)-LEN(SUBSTITUTE(B321:H321,",",""))))</f>
        <v>0</v>
      </c>
      <c r="J321" s="32"/>
      <c r="K321" s="33"/>
      <c r="L321" s="16"/>
      <c r="M321" s="13" t="s">
        <v>339</v>
      </c>
      <c r="N321" s="50"/>
      <c r="O321" s="54"/>
      <c r="P321" s="54"/>
      <c r="Q321" s="59" t="s">
        <v>599</v>
      </c>
    </row>
    <row r="322" spans="1:17">
      <c r="A322" s="15" t="s">
        <v>603</v>
      </c>
      <c r="B322" s="34"/>
      <c r="C322" s="38"/>
      <c r="D322" s="34"/>
      <c r="E322" s="38"/>
      <c r="F322" s="34"/>
      <c r="G322" s="38"/>
      <c r="H322" s="34"/>
      <c r="I322" s="13" cm="1">
        <f t="array" ref="I322">SUMPRODUCT((B322:H322&lt;&gt;"")*1+(LEN(B322:H322)-LEN(SUBSTITUTE(B322:H322,",",""))))</f>
        <v>0</v>
      </c>
      <c r="J322" s="36"/>
      <c r="K322" s="37"/>
      <c r="L322" s="13"/>
      <c r="M322" s="13" t="s">
        <v>339</v>
      </c>
      <c r="N322" s="49"/>
      <c r="O322" s="53"/>
      <c r="P322" s="53"/>
      <c r="Q322" s="80" t="s">
        <v>103</v>
      </c>
    </row>
    <row r="323" spans="1:17">
      <c r="A323" s="18" t="s">
        <v>604</v>
      </c>
      <c r="B323" s="34"/>
      <c r="C323" s="35"/>
      <c r="D323" s="34"/>
      <c r="E323" s="35"/>
      <c r="F323" s="34"/>
      <c r="G323" s="35"/>
      <c r="H323" s="34"/>
      <c r="I323" s="16" cm="1">
        <f t="array" ref="I323">SUMPRODUCT((B323:H323&lt;&gt;"")*1+(LEN(B323:H323)-LEN(SUBSTITUTE(B323:H323,",",""))))</f>
        <v>0</v>
      </c>
      <c r="J323" s="32"/>
      <c r="K323" s="33"/>
      <c r="L323" s="16"/>
      <c r="M323" s="13" t="s">
        <v>339</v>
      </c>
      <c r="N323" s="50"/>
      <c r="O323" s="54"/>
      <c r="P323" s="54"/>
      <c r="Q323" s="162" t="s">
        <v>103</v>
      </c>
    </row>
    <row r="324" spans="1:17">
      <c r="A324" s="15" t="s">
        <v>605</v>
      </c>
      <c r="B324" s="34"/>
      <c r="C324" s="38"/>
      <c r="D324" s="34"/>
      <c r="E324" s="38"/>
      <c r="F324" s="34"/>
      <c r="G324" s="38"/>
      <c r="H324" s="34"/>
      <c r="I324" s="13" cm="1">
        <f t="array" ref="I324">SUMPRODUCT((B324:H324&lt;&gt;"")*1+(LEN(B324:H324)-LEN(SUBSTITUTE(B324:H324,",",""))))</f>
        <v>0</v>
      </c>
      <c r="J324" s="36"/>
      <c r="K324" s="37"/>
      <c r="L324" s="13"/>
      <c r="M324" s="13" t="s">
        <v>339</v>
      </c>
      <c r="N324" s="49"/>
      <c r="O324" s="53"/>
      <c r="P324" s="53"/>
      <c r="Q324" s="80" t="s">
        <v>45</v>
      </c>
    </row>
    <row r="325" spans="1:17">
      <c r="A325" s="18" t="s">
        <v>606</v>
      </c>
      <c r="B325" s="34"/>
      <c r="C325" s="35"/>
      <c r="D325" s="34"/>
      <c r="E325" s="35"/>
      <c r="F325" s="34"/>
      <c r="G325" s="35"/>
      <c r="H325" s="34"/>
      <c r="I325" s="16" cm="1">
        <f t="array" ref="I325">SUMPRODUCT((B325:H325&lt;&gt;"")*1+(LEN(B325:H325)-LEN(SUBSTITUTE(B325:H325,",",""))))</f>
        <v>0</v>
      </c>
      <c r="J325" s="32"/>
      <c r="K325" s="33"/>
      <c r="L325" s="16"/>
      <c r="M325" s="13" t="s">
        <v>339</v>
      </c>
      <c r="N325" s="50"/>
      <c r="O325" s="54"/>
      <c r="P325" s="54"/>
      <c r="Q325" s="59" t="s">
        <v>169</v>
      </c>
    </row>
    <row r="326" spans="1:17">
      <c r="A326" s="15" t="s">
        <v>607</v>
      </c>
      <c r="B326" s="34"/>
      <c r="C326" s="38"/>
      <c r="D326" s="34"/>
      <c r="E326" s="38"/>
      <c r="F326" s="34"/>
      <c r="G326" s="38"/>
      <c r="H326" s="34"/>
      <c r="I326" s="13" cm="1">
        <f t="array" ref="I326">SUMPRODUCT((B326:H326&lt;&gt;"")*1+(LEN(B326:H326)-LEN(SUBSTITUTE(B326:H326,",",""))))</f>
        <v>0</v>
      </c>
      <c r="J326" s="36"/>
      <c r="K326" s="37"/>
      <c r="L326" s="13"/>
      <c r="M326" s="13" t="s">
        <v>339</v>
      </c>
      <c r="N326" s="49"/>
      <c r="O326" s="53"/>
      <c r="P326" s="53"/>
      <c r="Q326" s="58" t="s">
        <v>169</v>
      </c>
    </row>
    <row r="327" spans="1:17">
      <c r="A327" s="18" t="s">
        <v>608</v>
      </c>
      <c r="B327" s="34"/>
      <c r="C327" s="35"/>
      <c r="D327" s="34"/>
      <c r="E327" s="35"/>
      <c r="F327" s="34"/>
      <c r="G327" s="35"/>
      <c r="H327" s="34"/>
      <c r="I327" s="16" cm="1">
        <f t="array" ref="I327">SUMPRODUCT((B327:H327&lt;&gt;"")*1+(LEN(B327:H327)-LEN(SUBSTITUTE(B327:H327,",",""))))</f>
        <v>0</v>
      </c>
      <c r="J327" s="32"/>
      <c r="K327" s="33"/>
      <c r="L327" s="16"/>
      <c r="M327" s="13" t="s">
        <v>339</v>
      </c>
      <c r="N327" s="50"/>
      <c r="O327" s="54"/>
      <c r="P327" s="54"/>
      <c r="Q327" s="59" t="s">
        <v>169</v>
      </c>
    </row>
    <row r="328" spans="1:17">
      <c r="A328" s="15" t="s">
        <v>609</v>
      </c>
      <c r="B328" s="34"/>
      <c r="C328" s="38"/>
      <c r="D328" s="34"/>
      <c r="E328" s="38"/>
      <c r="F328" s="34"/>
      <c r="G328" s="38"/>
      <c r="H328" s="34"/>
      <c r="I328" s="13" cm="1">
        <f t="array" ref="I328">SUMPRODUCT((B328:H328&lt;&gt;"")*1+(LEN(B328:H328)-LEN(SUBSTITUTE(B328:H328,",",""))))</f>
        <v>0</v>
      </c>
      <c r="J328" s="36"/>
      <c r="K328" s="37"/>
      <c r="L328" s="13"/>
      <c r="M328" s="13" t="s">
        <v>339</v>
      </c>
      <c r="N328" s="49"/>
      <c r="O328" s="53"/>
      <c r="P328" s="53"/>
      <c r="Q328" s="58" t="s">
        <v>169</v>
      </c>
    </row>
    <row r="329" spans="1:17">
      <c r="A329" s="18" t="s">
        <v>610</v>
      </c>
      <c r="B329" s="34"/>
      <c r="C329" s="35"/>
      <c r="D329" s="34"/>
      <c r="E329" s="35"/>
      <c r="F329" s="34"/>
      <c r="G329" s="35"/>
      <c r="H329" s="34"/>
      <c r="I329" s="16" cm="1">
        <f t="array" ref="I329">SUMPRODUCT((B329:H329&lt;&gt;"")*1+(LEN(B329:H329)-LEN(SUBSTITUTE(B329:H329,",",""))))</f>
        <v>0</v>
      </c>
      <c r="J329" s="32"/>
      <c r="K329" s="33"/>
      <c r="L329" s="16"/>
      <c r="M329" s="13" t="s">
        <v>339</v>
      </c>
      <c r="N329" s="50"/>
      <c r="O329" s="54"/>
      <c r="P329" s="54"/>
      <c r="Q329" s="59" t="s">
        <v>599</v>
      </c>
    </row>
    <row r="330" spans="1:17">
      <c r="A330" s="15" t="s">
        <v>611</v>
      </c>
      <c r="B330" s="34"/>
      <c r="C330" s="38"/>
      <c r="D330" s="34"/>
      <c r="E330" s="38"/>
      <c r="F330" s="34"/>
      <c r="G330" s="38"/>
      <c r="H330" s="34"/>
      <c r="I330" s="13" cm="1">
        <f t="array" ref="I330">SUMPRODUCT((B330:H330&lt;&gt;"")*1+(LEN(B330:H330)-LEN(SUBSTITUTE(B330:H330,",",""))))</f>
        <v>0</v>
      </c>
      <c r="J330" s="36"/>
      <c r="K330" s="37"/>
      <c r="L330" s="13"/>
      <c r="M330" s="13" t="s">
        <v>339</v>
      </c>
      <c r="N330" s="49"/>
      <c r="O330" s="53"/>
      <c r="P330" s="53"/>
      <c r="Q330" s="58" t="s">
        <v>45</v>
      </c>
    </row>
    <row r="331" spans="1:17">
      <c r="A331" s="18" t="s">
        <v>612</v>
      </c>
      <c r="B331" s="34"/>
      <c r="C331" s="35"/>
      <c r="D331" s="34"/>
      <c r="E331" s="35"/>
      <c r="F331" s="34"/>
      <c r="G331" s="35"/>
      <c r="H331" s="34"/>
      <c r="I331" s="16" cm="1">
        <f t="array" ref="I331">SUMPRODUCT((B331:H331&lt;&gt;"")*1+(LEN(B331:H331)-LEN(SUBSTITUTE(B331:H331,",",""))))</f>
        <v>0</v>
      </c>
      <c r="J331" s="32"/>
      <c r="K331" s="33"/>
      <c r="L331" s="16"/>
      <c r="M331" s="13" t="s">
        <v>339</v>
      </c>
      <c r="N331" s="50"/>
      <c r="O331" s="54"/>
      <c r="P331" s="54"/>
      <c r="Q331" s="59" t="s">
        <v>45</v>
      </c>
    </row>
    <row r="332" spans="1:17">
      <c r="A332" s="15" t="s">
        <v>613</v>
      </c>
      <c r="B332" s="34"/>
      <c r="C332" s="38"/>
      <c r="D332" s="34"/>
      <c r="E332" s="38"/>
      <c r="F332" s="34"/>
      <c r="G332" s="38"/>
      <c r="H332" s="34"/>
      <c r="I332" s="13" cm="1">
        <f t="array" ref="I332">SUMPRODUCT((B332:H332&lt;&gt;"")*1+(LEN(B332:H332)-LEN(SUBSTITUTE(B332:H332,",",""))))</f>
        <v>0</v>
      </c>
      <c r="J332" s="36"/>
      <c r="K332" s="37"/>
      <c r="L332" s="13"/>
      <c r="M332" s="13" t="s">
        <v>339</v>
      </c>
      <c r="N332" s="49"/>
      <c r="O332" s="53"/>
      <c r="P332" s="53"/>
      <c r="Q332" s="58" t="s">
        <v>599</v>
      </c>
    </row>
    <row r="333" spans="1:17">
      <c r="A333" s="18" t="s">
        <v>614</v>
      </c>
      <c r="B333" s="34"/>
      <c r="C333" s="35"/>
      <c r="D333" s="34"/>
      <c r="E333" s="35"/>
      <c r="F333" s="34"/>
      <c r="G333" s="35"/>
      <c r="H333" s="34"/>
      <c r="I333" s="16" cm="1">
        <f t="array" ref="I333">SUMPRODUCT((B333:H333&lt;&gt;"")*1+(LEN(B333:H333)-LEN(SUBSTITUTE(B333:H333,",",""))))</f>
        <v>0</v>
      </c>
      <c r="J333" s="32"/>
      <c r="K333" s="33"/>
      <c r="L333" s="16"/>
      <c r="M333" s="13" t="s">
        <v>339</v>
      </c>
      <c r="N333" s="50"/>
      <c r="O333" s="54"/>
      <c r="P333" s="54"/>
      <c r="Q333" s="59" t="s">
        <v>45</v>
      </c>
    </row>
    <row r="334" spans="1:17">
      <c r="A334" s="15" t="s">
        <v>615</v>
      </c>
      <c r="B334" s="34"/>
      <c r="C334" s="38"/>
      <c r="D334" s="34"/>
      <c r="E334" s="38"/>
      <c r="F334" s="34"/>
      <c r="G334" s="38"/>
      <c r="H334" s="34"/>
      <c r="I334" s="13" cm="1">
        <f t="array" ref="I334">SUMPRODUCT((B334:H334&lt;&gt;"")*1+(LEN(B334:H334)-LEN(SUBSTITUTE(B334:H334,",",""))))</f>
        <v>0</v>
      </c>
      <c r="J334" s="36"/>
      <c r="K334" s="37"/>
      <c r="L334" s="13"/>
      <c r="M334" s="13" t="s">
        <v>339</v>
      </c>
      <c r="N334" s="49"/>
      <c r="O334" s="53"/>
      <c r="P334" s="53"/>
      <c r="Q334" s="58" t="s">
        <v>599</v>
      </c>
    </row>
    <row r="335" spans="1:17">
      <c r="A335" s="18" t="s">
        <v>616</v>
      </c>
      <c r="B335" s="34"/>
      <c r="C335" s="35"/>
      <c r="D335" s="34"/>
      <c r="E335" s="35"/>
      <c r="F335" s="34"/>
      <c r="G335" s="35"/>
      <c r="H335" s="34"/>
      <c r="I335" s="16" cm="1">
        <f t="array" ref="I335">SUMPRODUCT((B335:H335&lt;&gt;"")*1+(LEN(B335:H335)-LEN(SUBSTITUTE(B335:H335,",",""))))</f>
        <v>0</v>
      </c>
      <c r="J335" s="32"/>
      <c r="K335" s="33"/>
      <c r="L335" s="16"/>
      <c r="M335" s="13" t="s">
        <v>339</v>
      </c>
      <c r="N335" s="50"/>
      <c r="O335" s="54"/>
      <c r="P335" s="54"/>
      <c r="Q335" s="59" t="s">
        <v>103</v>
      </c>
    </row>
    <row r="336" spans="1:17">
      <c r="A336" s="15" t="s">
        <v>617</v>
      </c>
      <c r="B336" s="34"/>
      <c r="C336" s="38"/>
      <c r="D336" s="34"/>
      <c r="E336" s="38"/>
      <c r="F336" s="34"/>
      <c r="G336" s="38"/>
      <c r="H336" s="34"/>
      <c r="I336" s="13" cm="1">
        <f t="array" ref="I336">SUMPRODUCT((B336:H336&lt;&gt;"")*1+(LEN(B336:H336)-LEN(SUBSTITUTE(B336:H336,",",""))))</f>
        <v>0</v>
      </c>
      <c r="J336" s="36"/>
      <c r="K336" s="37"/>
      <c r="L336" s="13"/>
      <c r="M336" s="13" t="s">
        <v>339</v>
      </c>
      <c r="N336" s="49"/>
      <c r="O336" s="53"/>
      <c r="P336" s="53"/>
      <c r="Q336" s="58" t="s">
        <v>169</v>
      </c>
    </row>
    <row r="337" spans="1:17">
      <c r="A337" s="18" t="s">
        <v>618</v>
      </c>
      <c r="B337" s="34"/>
      <c r="C337" s="35"/>
      <c r="D337" s="34"/>
      <c r="E337" s="35"/>
      <c r="F337" s="34"/>
      <c r="G337" s="35"/>
      <c r="H337" s="34"/>
      <c r="I337" s="16" cm="1">
        <f t="array" ref="I337">SUMPRODUCT((B337:H337&lt;&gt;"")*1+(LEN(B337:H337)-LEN(SUBSTITUTE(B337:H337,",",""))))</f>
        <v>0</v>
      </c>
      <c r="J337" s="32"/>
      <c r="K337" s="33"/>
      <c r="L337" s="16"/>
      <c r="M337" s="13" t="s">
        <v>339</v>
      </c>
      <c r="N337" s="50"/>
      <c r="O337" s="54"/>
      <c r="P337" s="54"/>
      <c r="Q337" s="162" t="s">
        <v>599</v>
      </c>
    </row>
    <row r="338" spans="1:17">
      <c r="A338" s="15" t="s">
        <v>619</v>
      </c>
      <c r="B338" s="34"/>
      <c r="C338" s="38"/>
      <c r="D338" s="34"/>
      <c r="E338" s="38"/>
      <c r="F338" s="34"/>
      <c r="G338" s="38"/>
      <c r="H338" s="34"/>
      <c r="I338" s="13" cm="1">
        <f t="array" ref="I338">SUMPRODUCT((B338:H338&lt;&gt;"")*1+(LEN(B338:H338)-LEN(SUBSTITUTE(B338:H338,",",""))))</f>
        <v>0</v>
      </c>
      <c r="J338" s="36"/>
      <c r="K338" s="37"/>
      <c r="L338" s="13"/>
      <c r="M338" s="13" t="s">
        <v>339</v>
      </c>
      <c r="N338" s="49"/>
      <c r="O338" s="53"/>
      <c r="P338" s="53"/>
      <c r="Q338" s="80" t="s">
        <v>599</v>
      </c>
    </row>
    <row r="339" spans="1:17">
      <c r="A339" s="18" t="s">
        <v>620</v>
      </c>
      <c r="B339" s="34"/>
      <c r="C339" s="35"/>
      <c r="D339" s="34"/>
      <c r="E339" s="35"/>
      <c r="F339" s="34"/>
      <c r="G339" s="35"/>
      <c r="H339" s="34"/>
      <c r="I339" s="16" cm="1">
        <f t="array" ref="I339">SUMPRODUCT((B339:H339&lt;&gt;"")*1+(LEN(B339:H339)-LEN(SUBSTITUTE(B339:H339,",",""))))</f>
        <v>0</v>
      </c>
      <c r="J339" s="32"/>
      <c r="K339" s="33"/>
      <c r="L339" s="16"/>
      <c r="M339" s="13" t="s">
        <v>339</v>
      </c>
      <c r="N339" s="50"/>
      <c r="O339" s="54"/>
      <c r="P339" s="54"/>
      <c r="Q339" s="162" t="s">
        <v>599</v>
      </c>
    </row>
    <row r="340" spans="1:17">
      <c r="A340" s="15" t="s">
        <v>621</v>
      </c>
      <c r="B340" s="34"/>
      <c r="C340" s="38"/>
      <c r="D340" s="34"/>
      <c r="E340" s="38"/>
      <c r="F340" s="34"/>
      <c r="G340" s="38"/>
      <c r="H340" s="34"/>
      <c r="I340" s="13" cm="1">
        <f t="array" ref="I340">SUMPRODUCT((B340:H340&lt;&gt;"")*1+(LEN(B340:H340)-LEN(SUBSTITUTE(B340:H340,",",""))))</f>
        <v>0</v>
      </c>
      <c r="J340" s="36"/>
      <c r="K340" s="37"/>
      <c r="L340" s="13"/>
      <c r="M340" s="13" t="s">
        <v>339</v>
      </c>
      <c r="N340" s="49"/>
      <c r="O340" s="53"/>
      <c r="P340" s="53"/>
      <c r="Q340" s="58" t="s">
        <v>599</v>
      </c>
    </row>
    <row r="341" spans="1:17">
      <c r="A341" s="18" t="s">
        <v>622</v>
      </c>
      <c r="B341" s="34"/>
      <c r="C341" s="35"/>
      <c r="D341" s="34"/>
      <c r="E341" s="35"/>
      <c r="F341" s="34"/>
      <c r="G341" s="35"/>
      <c r="H341" s="34"/>
      <c r="I341" s="16" cm="1">
        <f t="array" ref="I341">SUMPRODUCT((B341:H341&lt;&gt;"")*1+(LEN(B341:H341)-LEN(SUBSTITUTE(B341:H341,",",""))))</f>
        <v>0</v>
      </c>
      <c r="J341" s="32"/>
      <c r="K341" s="33"/>
      <c r="L341" s="16"/>
      <c r="M341" s="13" t="s">
        <v>339</v>
      </c>
      <c r="N341" s="50"/>
      <c r="O341" s="54"/>
      <c r="P341" s="54"/>
      <c r="Q341" s="59" t="s">
        <v>599</v>
      </c>
    </row>
    <row r="342" spans="1:17">
      <c r="A342" s="15" t="s">
        <v>623</v>
      </c>
      <c r="B342" s="34"/>
      <c r="C342" s="38"/>
      <c r="D342" s="34"/>
      <c r="E342" s="38"/>
      <c r="F342" s="34"/>
      <c r="G342" s="38"/>
      <c r="H342" s="34"/>
      <c r="I342" s="13" cm="1">
        <f t="array" ref="I342">SUMPRODUCT((B342:H342&lt;&gt;"")*1+(LEN(B342:H342)-LEN(SUBSTITUTE(B342:H342,",",""))))</f>
        <v>0</v>
      </c>
      <c r="J342" s="36"/>
      <c r="K342" s="37"/>
      <c r="L342" s="13"/>
      <c r="M342" s="13" t="s">
        <v>339</v>
      </c>
      <c r="N342" s="49"/>
      <c r="O342" s="53"/>
      <c r="P342" s="53"/>
      <c r="Q342" s="58" t="s">
        <v>599</v>
      </c>
    </row>
    <row r="343" spans="1:17">
      <c r="A343" s="18" t="s">
        <v>624</v>
      </c>
      <c r="B343" s="34"/>
      <c r="C343" s="35"/>
      <c r="D343" s="34"/>
      <c r="E343" s="35"/>
      <c r="F343" s="34"/>
      <c r="G343" s="35"/>
      <c r="H343" s="34"/>
      <c r="I343" s="16" cm="1">
        <f t="array" ref="I343">SUMPRODUCT((B343:H343&lt;&gt;"")*1+(LEN(B343:H343)-LEN(SUBSTITUTE(B343:H343,",",""))))</f>
        <v>0</v>
      </c>
      <c r="J343" s="32"/>
      <c r="K343" s="33"/>
      <c r="L343" s="16"/>
      <c r="M343" s="13" t="s">
        <v>339</v>
      </c>
      <c r="N343" s="50"/>
      <c r="O343" s="54"/>
      <c r="P343" s="54"/>
      <c r="Q343" s="59" t="s">
        <v>599</v>
      </c>
    </row>
    <row r="344" spans="1:17">
      <c r="A344" s="15" t="s">
        <v>625</v>
      </c>
      <c r="B344" s="34"/>
      <c r="C344" s="38"/>
      <c r="D344" s="34"/>
      <c r="E344" s="38"/>
      <c r="F344" s="34"/>
      <c r="G344" s="38"/>
      <c r="H344" s="34"/>
      <c r="I344" s="13" cm="1">
        <f t="array" ref="I344">SUMPRODUCT((B344:H344&lt;&gt;"")*1+(LEN(B344:H344)-LEN(SUBSTITUTE(B344:H344,",",""))))</f>
        <v>0</v>
      </c>
      <c r="J344" s="36"/>
      <c r="K344" s="37"/>
      <c r="L344" s="13"/>
      <c r="M344" s="13" t="s">
        <v>339</v>
      </c>
      <c r="N344" s="49"/>
      <c r="O344" s="53"/>
      <c r="P344" s="53"/>
      <c r="Q344" s="58" t="s">
        <v>169</v>
      </c>
    </row>
    <row r="345" spans="1:17">
      <c r="A345" s="18" t="s">
        <v>626</v>
      </c>
      <c r="B345" s="34"/>
      <c r="C345" s="35"/>
      <c r="D345" s="34"/>
      <c r="E345" s="35"/>
      <c r="F345" s="34"/>
      <c r="G345" s="35"/>
      <c r="H345" s="34"/>
      <c r="I345" s="16" cm="1">
        <f t="array" ref="I345">SUMPRODUCT((B345:H345&lt;&gt;"")*1+(LEN(B345:H345)-LEN(SUBSTITUTE(B345:H345,",",""))))</f>
        <v>0</v>
      </c>
      <c r="J345" s="32"/>
      <c r="K345" s="33"/>
      <c r="L345" s="16"/>
      <c r="M345" s="13" t="s">
        <v>339</v>
      </c>
      <c r="N345" s="50"/>
      <c r="O345" s="54"/>
      <c r="P345" s="54"/>
      <c r="Q345" s="59" t="s">
        <v>169</v>
      </c>
    </row>
    <row r="346" spans="1:17">
      <c r="A346" s="15" t="s">
        <v>627</v>
      </c>
      <c r="B346" s="34"/>
      <c r="C346" s="38"/>
      <c r="D346" s="34"/>
      <c r="E346" s="38"/>
      <c r="F346" s="34"/>
      <c r="G346" s="38"/>
      <c r="H346" s="34"/>
      <c r="I346" s="13" cm="1">
        <f t="array" ref="I346">SUMPRODUCT((B346:H346&lt;&gt;"")*1+(LEN(B346:H346)-LEN(SUBSTITUTE(B346:H346,",",""))))</f>
        <v>0</v>
      </c>
      <c r="J346" s="36"/>
      <c r="K346" s="37"/>
      <c r="L346" s="13"/>
      <c r="M346" s="13" t="s">
        <v>339</v>
      </c>
      <c r="N346" s="49"/>
      <c r="O346" s="53"/>
      <c r="P346" s="53"/>
      <c r="Q346" s="80" t="s">
        <v>169</v>
      </c>
    </row>
    <row r="347" spans="1:17">
      <c r="A347" s="18" t="s">
        <v>628</v>
      </c>
      <c r="B347" s="34"/>
      <c r="C347" s="35"/>
      <c r="D347" s="34"/>
      <c r="E347" s="35"/>
      <c r="F347" s="34"/>
      <c r="G347" s="35"/>
      <c r="H347" s="34"/>
      <c r="I347" s="16" cm="1">
        <f t="array" ref="I347">SUMPRODUCT((B347:H347&lt;&gt;"")*1+(LEN(B347:H347)-LEN(SUBSTITUTE(B347:H347,",",""))))</f>
        <v>0</v>
      </c>
      <c r="J347" s="32"/>
      <c r="K347" s="33"/>
      <c r="L347" s="16"/>
      <c r="M347" s="13" t="s">
        <v>339</v>
      </c>
      <c r="N347" s="50"/>
      <c r="O347" s="54"/>
      <c r="P347" s="54"/>
      <c r="Q347" s="59" t="s">
        <v>169</v>
      </c>
    </row>
    <row r="348" spans="1:17">
      <c r="A348" s="15" t="s">
        <v>629</v>
      </c>
      <c r="B348" s="34"/>
      <c r="C348" s="38"/>
      <c r="D348" s="34"/>
      <c r="E348" s="38"/>
      <c r="F348" s="34"/>
      <c r="G348" s="38"/>
      <c r="H348" s="34"/>
      <c r="I348" s="13" cm="1">
        <f t="array" ref="I348">SUMPRODUCT((B348:H348&lt;&gt;"")*1+(LEN(B348:H348)-LEN(SUBSTITUTE(B348:H348,",",""))))</f>
        <v>0</v>
      </c>
      <c r="J348" s="36"/>
      <c r="K348" s="37"/>
      <c r="L348" s="13"/>
      <c r="M348" s="13" t="s">
        <v>339</v>
      </c>
      <c r="N348" s="49"/>
      <c r="O348" s="53"/>
      <c r="P348" s="53"/>
      <c r="Q348" s="58" t="s">
        <v>169</v>
      </c>
    </row>
    <row r="349" spans="1:17">
      <c r="A349" s="18" t="s">
        <v>630</v>
      </c>
      <c r="B349" s="34"/>
      <c r="C349" s="35"/>
      <c r="D349" s="34"/>
      <c r="E349" s="35"/>
      <c r="F349" s="34"/>
      <c r="G349" s="35"/>
      <c r="H349" s="34"/>
      <c r="I349" s="16" cm="1">
        <f t="array" ref="I349">SUMPRODUCT((B349:H349&lt;&gt;"")*1+(LEN(B349:H349)-LEN(SUBSTITUTE(B349:H349,",",""))))</f>
        <v>0</v>
      </c>
      <c r="J349" s="32"/>
      <c r="K349" s="33"/>
      <c r="L349" s="16"/>
      <c r="M349" s="13" t="s">
        <v>339</v>
      </c>
      <c r="N349" s="50"/>
      <c r="O349" s="54"/>
      <c r="P349" s="54"/>
      <c r="Q349" s="59" t="s">
        <v>169</v>
      </c>
    </row>
    <row r="350" spans="1:17">
      <c r="A350" s="15" t="s">
        <v>631</v>
      </c>
      <c r="B350" s="34"/>
      <c r="C350" s="38"/>
      <c r="D350" s="34"/>
      <c r="E350" s="38"/>
      <c r="F350" s="34"/>
      <c r="G350" s="38"/>
      <c r="H350" s="34"/>
      <c r="I350" s="13" cm="1">
        <f t="array" ref="I350">SUMPRODUCT((B350:H350&lt;&gt;"")*1+(LEN(B350:H350)-LEN(SUBSTITUTE(B350:H350,",",""))))</f>
        <v>0</v>
      </c>
      <c r="J350" s="36"/>
      <c r="K350" s="37"/>
      <c r="L350" s="13"/>
      <c r="M350" s="13" t="s">
        <v>339</v>
      </c>
      <c r="N350" s="49"/>
      <c r="O350" s="53"/>
      <c r="P350" s="53"/>
      <c r="Q350" s="58" t="s">
        <v>45</v>
      </c>
    </row>
    <row r="351" spans="1:17">
      <c r="A351" s="18" t="s">
        <v>632</v>
      </c>
      <c r="B351" s="34"/>
      <c r="C351" s="35"/>
      <c r="D351" s="34"/>
      <c r="E351" s="35"/>
      <c r="F351" s="34"/>
      <c r="G351" s="35"/>
      <c r="H351" s="34"/>
      <c r="I351" s="16" cm="1">
        <f t="array" ref="I351">SUMPRODUCT((B351:H351&lt;&gt;"")*1+(LEN(B351:H351)-LEN(SUBSTITUTE(B351:H351,",",""))))</f>
        <v>0</v>
      </c>
      <c r="J351" s="32"/>
      <c r="K351" s="33"/>
      <c r="L351" s="16"/>
      <c r="M351" s="13" t="s">
        <v>339</v>
      </c>
      <c r="N351" s="50"/>
      <c r="O351" s="54"/>
      <c r="P351" s="54"/>
      <c r="Q351" s="162" t="s">
        <v>103</v>
      </c>
    </row>
    <row r="352" spans="1:17">
      <c r="A352" s="15" t="s">
        <v>633</v>
      </c>
      <c r="B352" s="34"/>
      <c r="C352" s="38"/>
      <c r="D352" s="34"/>
      <c r="E352" s="38"/>
      <c r="F352" s="34"/>
      <c r="G352" s="38"/>
      <c r="H352" s="34"/>
      <c r="I352" s="13" cm="1">
        <f t="array" ref="I352">SUMPRODUCT((B352:H352&lt;&gt;"")*1+(LEN(B352:H352)-LEN(SUBSTITUTE(B352:H352,",",""))))</f>
        <v>0</v>
      </c>
      <c r="J352" s="36"/>
      <c r="K352" s="37"/>
      <c r="L352" s="13"/>
      <c r="M352" s="13" t="s">
        <v>339</v>
      </c>
      <c r="N352" s="49"/>
      <c r="O352" s="53"/>
      <c r="P352" s="53"/>
      <c r="Q352" s="80" t="s">
        <v>169</v>
      </c>
    </row>
    <row r="353" spans="1:17">
      <c r="A353" s="18" t="s">
        <v>634</v>
      </c>
      <c r="B353" s="34"/>
      <c r="C353" s="35"/>
      <c r="D353" s="34"/>
      <c r="E353" s="35"/>
      <c r="F353" s="34"/>
      <c r="G353" s="35"/>
      <c r="H353" s="34"/>
      <c r="I353" s="16" cm="1">
        <f t="array" ref="I353">SUMPRODUCT((B353:H353&lt;&gt;"")*1+(LEN(B353:H353)-LEN(SUBSTITUTE(B353:H353,",",""))))</f>
        <v>0</v>
      </c>
      <c r="J353" s="32"/>
      <c r="K353" s="33"/>
      <c r="L353" s="16"/>
      <c r="M353" s="13" t="s">
        <v>339</v>
      </c>
      <c r="N353" s="50"/>
      <c r="O353" s="54"/>
      <c r="P353" s="54"/>
      <c r="Q353" s="162" t="s">
        <v>169</v>
      </c>
    </row>
    <row r="354" spans="1:17">
      <c r="A354" s="15" t="s">
        <v>635</v>
      </c>
      <c r="B354" s="34"/>
      <c r="C354" s="38"/>
      <c r="D354" s="34"/>
      <c r="E354" s="38"/>
      <c r="F354" s="34"/>
      <c r="G354" s="38"/>
      <c r="H354" s="34"/>
      <c r="I354" s="13" cm="1">
        <f t="array" ref="I354">SUMPRODUCT((B354:H354&lt;&gt;"")*1+(LEN(B354:H354)-LEN(SUBSTITUTE(B354:H354,",",""))))</f>
        <v>0</v>
      </c>
      <c r="J354" s="36"/>
      <c r="K354" s="37"/>
      <c r="L354" s="13"/>
      <c r="M354" s="13" t="s">
        <v>339</v>
      </c>
      <c r="N354" s="49"/>
      <c r="O354" s="53"/>
      <c r="P354" s="53"/>
      <c r="Q354" s="80" t="s">
        <v>169</v>
      </c>
    </row>
    <row r="355" spans="1:17">
      <c r="A355" s="18" t="s">
        <v>636</v>
      </c>
      <c r="B355" s="34"/>
      <c r="C355" s="35"/>
      <c r="D355" s="34"/>
      <c r="E355" s="35"/>
      <c r="F355" s="34"/>
      <c r="G355" s="35"/>
      <c r="H355" s="34"/>
      <c r="I355" s="16" cm="1">
        <f t="array" ref="I355">SUMPRODUCT((B355:H355&lt;&gt;"")*1+(LEN(B355:H355)-LEN(SUBSTITUTE(B355:H355,",",""))))</f>
        <v>0</v>
      </c>
      <c r="J355" s="32"/>
      <c r="K355" s="33"/>
      <c r="L355" s="16"/>
      <c r="M355" s="13" t="s">
        <v>339</v>
      </c>
      <c r="N355" s="50"/>
      <c r="O355" s="54"/>
      <c r="P355" s="54"/>
      <c r="Q355" s="162" t="s">
        <v>362</v>
      </c>
    </row>
    <row r="356" spans="1:17">
      <c r="A356" s="15" t="s">
        <v>637</v>
      </c>
      <c r="B356" s="34"/>
      <c r="C356" s="38"/>
      <c r="D356" s="34"/>
      <c r="E356" s="38"/>
      <c r="F356" s="34"/>
      <c r="G356" s="38"/>
      <c r="H356" s="34"/>
      <c r="I356" s="13" cm="1">
        <f t="array" ref="I356">SUMPRODUCT((B356:H356&lt;&gt;"")*1+(LEN(B356:H356)-LEN(SUBSTITUTE(B356:H356,",",""))))</f>
        <v>0</v>
      </c>
      <c r="J356" s="36"/>
      <c r="K356" s="37"/>
      <c r="L356" s="13"/>
      <c r="M356" s="13" t="s">
        <v>339</v>
      </c>
      <c r="N356" s="49"/>
      <c r="O356" s="53"/>
      <c r="P356" s="53"/>
      <c r="Q356" s="58" t="s">
        <v>362</v>
      </c>
    </row>
  </sheetData>
  <mergeCells count="1">
    <mergeCell ref="A1:O1"/>
  </mergeCells>
  <conditionalFormatting sqref="L5:L91 L92:M92 L93:L355">
    <cfRule type="containsText" dxfId="39" priority="6" operator="containsText" text="New">
      <formula>NOT(ISERROR(SEARCH("New",L5)))</formula>
    </cfRule>
    <cfRule type="containsText" dxfId="38" priority="7" operator="containsText" text="In process">
      <formula>NOT(ISERROR(SEARCH("In process",L5)))</formula>
    </cfRule>
    <cfRule type="containsText" dxfId="37" priority="8" operator="containsText" text="QC">
      <formula>NOT(ISERROR(SEARCH("QC",L5)))</formula>
    </cfRule>
    <cfRule type="containsText" dxfId="36" priority="9" operator="containsText" text="Approved">
      <formula>NOT(ISERROR(SEARCH("Approved",L5)))</formula>
    </cfRule>
    <cfRule type="containsText" dxfId="35" priority="10" operator="containsText" text="Denied">
      <formula>NOT(ISERROR(SEARCH("Denied",L5)))</formula>
    </cfRule>
  </conditionalFormatting>
  <conditionalFormatting sqref="M5:M356">
    <cfRule type="containsText" dxfId="34" priority="11" operator="containsText" text="High">
      <formula>NOT(ISERROR(SEARCH("High",M5)))</formula>
    </cfRule>
    <cfRule type="containsText" dxfId="33" priority="12" operator="containsText" text="Medium">
      <formula>NOT(ISERROR(SEARCH("Medium",M5)))</formula>
    </cfRule>
    <cfRule type="containsText" dxfId="32" priority="13" operator="containsText" text="Low">
      <formula>NOT(ISERROR(SEARCH("Low",M5)))</formula>
    </cfRule>
  </conditionalFormatting>
  <dataValidations count="4">
    <dataValidation type="list" allowBlank="1" showInputMessage="1" showErrorMessage="1" sqref="M5:M356" xr:uid="{0E1FA2E6-7E7E-7D4C-893F-9C99055F78D2}">
      <formula1>"High, Medium, Low"</formula1>
    </dataValidation>
    <dataValidation type="list" allowBlank="1" sqref="J5:J356" xr:uid="{7E6C3C8F-D9C5-6F4E-A3BC-7D2D191F6F83}">
      <formula1>"Jill,Rosalynn,Roemer,Nikki,Esther,Kaylee"</formula1>
    </dataValidation>
    <dataValidation allowBlank="1" showInputMessage="1" showErrorMessage="1" sqref="N5:N356" xr:uid="{EE359642-63AB-413D-863C-A25AE6D036CB}"/>
    <dataValidation type="list" allowBlank="1" showInputMessage="1" showErrorMessage="1" sqref="L5:L356" xr:uid="{4F9E12FE-A6A2-1D4B-A9D1-B3061ED9A27B}">
      <formula1>"New, In process, QC, Approved, Denied,AI Rejected"</formula1>
    </dataValidation>
  </dataValidations>
  <hyperlinks>
    <hyperlink ref="A3" r:id="rId1" xr:uid="{23708887-5536-8B45-95EA-B885302217E7}"/>
    <hyperlink ref="C3" r:id="rId2" xr:uid="{8E1D597E-32AF-AC4E-8441-DE0260C01A56}"/>
    <hyperlink ref="G3" r:id="rId3" xr:uid="{CA12C7BE-C9F7-6D49-8BD0-996ACEA1EA4E}"/>
    <hyperlink ref="J3" r:id="rId4" xr:uid="{F7F128D8-F450-4690-9E04-CE31E50D1385}"/>
    <hyperlink ref="L3" r:id="rId5" xr:uid="{7C44A4FC-8E14-49AD-B73F-C037500CF291}"/>
  </hyperlinks>
  <pageMargins left="0.75" right="0.75" top="1" bottom="1" header="0.511811023622047" footer="0.511811023622047"/>
  <pageSetup paperSize="9" orientation="portrait" horizontalDpi="300" verticalDpi="300"/>
  <tableParts count="1">
    <tablePart r:id="rId6"/>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A1:J200"/>
  <sheetViews>
    <sheetView zoomScaleNormal="100" workbookViewId="0">
      <pane ySplit="4" topLeftCell="A5" activePane="bottomLeft" state="frozen"/>
      <selection pane="bottomLeft" activeCell="L15" sqref="L15"/>
    </sheetView>
  </sheetViews>
  <sheetFormatPr defaultColWidth="8.7109375" defaultRowHeight="15" customHeight="1"/>
  <cols>
    <col min="1" max="1" width="29" bestFit="1" customWidth="1"/>
    <col min="2" max="3" width="13.85546875" customWidth="1"/>
    <col min="4" max="4" width="25.85546875" customWidth="1"/>
    <col min="5" max="5" width="19.42578125" customWidth="1"/>
    <col min="6" max="6" width="20.28515625" customWidth="1"/>
    <col min="7" max="7" width="17.42578125" customWidth="1"/>
    <col min="8" max="8" width="15.7109375" customWidth="1"/>
    <col min="9" max="9" width="21.28515625" customWidth="1"/>
    <col min="10" max="10" width="24.140625" customWidth="1"/>
    <col min="11" max="11" width="15.28515625" customWidth="1"/>
  </cols>
  <sheetData>
    <row r="1" spans="1:10" ht="36" customHeight="1">
      <c r="A1" s="248" t="s">
        <v>0</v>
      </c>
      <c r="B1" s="248"/>
      <c r="C1" s="248"/>
      <c r="D1" s="248"/>
      <c r="E1" s="248"/>
      <c r="F1" s="248"/>
      <c r="G1" s="248"/>
      <c r="H1" s="248"/>
      <c r="I1" s="248"/>
      <c r="J1" s="248"/>
    </row>
    <row r="2" spans="1:10" ht="26.1" customHeight="1">
      <c r="A2" s="2" t="s">
        <v>1</v>
      </c>
      <c r="B2" s="3">
        <f>COUNTIF(G5:G200,"New")</f>
        <v>24</v>
      </c>
      <c r="C2" s="4" t="s">
        <v>2</v>
      </c>
      <c r="D2" s="5">
        <f>COUNTIF(G5:G200,"In process")</f>
        <v>0</v>
      </c>
      <c r="E2" s="29" t="s">
        <v>3</v>
      </c>
      <c r="F2" s="6">
        <f>COUNTIF(G5:G200,"QC")</f>
        <v>0</v>
      </c>
      <c r="G2" s="7" t="s">
        <v>4</v>
      </c>
      <c r="H2" s="8">
        <f>COUNTIF(G5:G200,"Approved")</f>
        <v>0</v>
      </c>
      <c r="I2" s="9" t="s">
        <v>5</v>
      </c>
      <c r="J2" s="10">
        <f>COUNTIF(G5:G200,"Denied")</f>
        <v>0</v>
      </c>
    </row>
    <row r="3" spans="1:10" ht="18" customHeight="1">
      <c r="A3" s="27" t="s">
        <v>6</v>
      </c>
      <c r="B3" s="27" t="s">
        <v>7</v>
      </c>
      <c r="C3" s="28" t="s">
        <v>638</v>
      </c>
      <c r="D3" s="27" t="s">
        <v>8</v>
      </c>
      <c r="E3" s="12" t="s">
        <v>638</v>
      </c>
      <c r="F3" s="27" t="s">
        <v>9</v>
      </c>
      <c r="G3" s="12"/>
      <c r="H3" s="12"/>
      <c r="I3" s="12"/>
      <c r="J3" s="12"/>
    </row>
    <row r="4" spans="1:10" ht="14.45">
      <c r="A4" s="11" t="s">
        <v>11</v>
      </c>
      <c r="B4" s="11" t="s">
        <v>19</v>
      </c>
      <c r="C4" s="11" t="s">
        <v>639</v>
      </c>
      <c r="D4" s="11" t="s">
        <v>640</v>
      </c>
      <c r="E4" s="11" t="s">
        <v>20</v>
      </c>
      <c r="F4" s="11" t="s">
        <v>21</v>
      </c>
      <c r="G4" s="11" t="s">
        <v>22</v>
      </c>
      <c r="H4" s="11" t="s">
        <v>23</v>
      </c>
      <c r="I4" s="11" t="s">
        <v>24</v>
      </c>
      <c r="J4" s="11" t="s">
        <v>25</v>
      </c>
    </row>
    <row r="5" spans="1:10" ht="19.5" customHeight="1">
      <c r="A5" s="13" t="s">
        <v>367</v>
      </c>
      <c r="B5" s="13">
        <v>13</v>
      </c>
      <c r="C5" s="13"/>
      <c r="D5" s="13" t="s">
        <v>641</v>
      </c>
      <c r="E5" s="15" t="s">
        <v>642</v>
      </c>
      <c r="F5" s="14">
        <v>46097</v>
      </c>
      <c r="G5" s="13" t="s">
        <v>133</v>
      </c>
      <c r="H5" s="13" t="s">
        <v>339</v>
      </c>
      <c r="I5" s="14"/>
      <c r="J5" s="15"/>
    </row>
    <row r="6" spans="1:10" ht="19.5" customHeight="1">
      <c r="A6" s="16" t="s">
        <v>369</v>
      </c>
      <c r="B6" s="16">
        <v>13</v>
      </c>
      <c r="C6" s="16"/>
      <c r="D6" s="16" t="s">
        <v>641</v>
      </c>
      <c r="E6" s="18" t="s">
        <v>642</v>
      </c>
      <c r="F6" s="17">
        <v>46097</v>
      </c>
      <c r="G6" s="17" t="s">
        <v>133</v>
      </c>
      <c r="H6" s="16" t="s">
        <v>339</v>
      </c>
      <c r="I6" s="17"/>
      <c r="J6" s="18"/>
    </row>
    <row r="7" spans="1:10" ht="19.5" customHeight="1">
      <c r="A7" s="13" t="s">
        <v>371</v>
      </c>
      <c r="B7" s="13">
        <v>18</v>
      </c>
      <c r="C7" s="13"/>
      <c r="D7" s="13" t="s">
        <v>641</v>
      </c>
      <c r="E7" s="15" t="s">
        <v>642</v>
      </c>
      <c r="F7" s="14">
        <v>46097</v>
      </c>
      <c r="G7" s="13" t="s">
        <v>133</v>
      </c>
      <c r="H7" s="13" t="s">
        <v>339</v>
      </c>
      <c r="I7" s="14"/>
      <c r="J7" s="15"/>
    </row>
    <row r="8" spans="1:10" ht="19.5" customHeight="1">
      <c r="A8" s="16" t="s">
        <v>373</v>
      </c>
      <c r="B8" s="16">
        <v>17</v>
      </c>
      <c r="C8" s="16"/>
      <c r="D8" s="16" t="s">
        <v>641</v>
      </c>
      <c r="E8" s="18" t="s">
        <v>642</v>
      </c>
      <c r="F8" s="17">
        <v>46097</v>
      </c>
      <c r="G8" s="17" t="s">
        <v>133</v>
      </c>
      <c r="H8" s="16" t="s">
        <v>339</v>
      </c>
      <c r="I8" s="17"/>
      <c r="J8" s="18"/>
    </row>
    <row r="9" spans="1:10" ht="19.5" customHeight="1">
      <c r="A9" s="13" t="s">
        <v>643</v>
      </c>
      <c r="B9" s="13">
        <v>12</v>
      </c>
      <c r="C9" s="13"/>
      <c r="D9" s="13" t="s">
        <v>644</v>
      </c>
      <c r="E9" s="15" t="s">
        <v>642</v>
      </c>
      <c r="F9" s="14">
        <v>46097</v>
      </c>
      <c r="G9" s="13" t="s">
        <v>133</v>
      </c>
      <c r="H9" s="13" t="s">
        <v>339</v>
      </c>
      <c r="I9" s="14"/>
      <c r="J9" s="15"/>
    </row>
    <row r="10" spans="1:10" ht="19.5" customHeight="1">
      <c r="A10" s="16" t="s">
        <v>645</v>
      </c>
      <c r="B10" s="16">
        <v>2</v>
      </c>
      <c r="C10" s="16"/>
      <c r="D10" s="16" t="s">
        <v>644</v>
      </c>
      <c r="E10" s="18" t="s">
        <v>642</v>
      </c>
      <c r="F10" s="17">
        <v>46097</v>
      </c>
      <c r="G10" s="17" t="s">
        <v>133</v>
      </c>
      <c r="H10" s="16" t="s">
        <v>339</v>
      </c>
      <c r="I10" s="17"/>
      <c r="J10" s="18"/>
    </row>
    <row r="11" spans="1:10" ht="19.5" customHeight="1">
      <c r="A11" s="13" t="s">
        <v>646</v>
      </c>
      <c r="B11" s="13">
        <v>3</v>
      </c>
      <c r="C11" s="13"/>
      <c r="D11" s="13" t="s">
        <v>644</v>
      </c>
      <c r="E11" s="15" t="s">
        <v>642</v>
      </c>
      <c r="F11" s="14">
        <v>46097</v>
      </c>
      <c r="G11" s="13" t="s">
        <v>133</v>
      </c>
      <c r="H11" s="13" t="s">
        <v>339</v>
      </c>
      <c r="I11" s="14"/>
      <c r="J11" s="15"/>
    </row>
    <row r="12" spans="1:10" ht="19.5" customHeight="1">
      <c r="A12" s="16" t="s">
        <v>647</v>
      </c>
      <c r="B12" s="16">
        <v>3</v>
      </c>
      <c r="C12" s="16"/>
      <c r="D12" s="16"/>
      <c r="E12" s="18" t="s">
        <v>642</v>
      </c>
      <c r="F12" s="17">
        <v>46097</v>
      </c>
      <c r="G12" s="17" t="s">
        <v>133</v>
      </c>
      <c r="H12" s="16" t="s">
        <v>339</v>
      </c>
      <c r="I12" s="17"/>
      <c r="J12" s="18"/>
    </row>
    <row r="13" spans="1:10" ht="19.5" customHeight="1">
      <c r="A13" s="13" t="s">
        <v>648</v>
      </c>
      <c r="B13" s="13">
        <v>4</v>
      </c>
      <c r="C13" s="13"/>
      <c r="D13" s="13" t="s">
        <v>644</v>
      </c>
      <c r="E13" s="15" t="s">
        <v>642</v>
      </c>
      <c r="F13" s="14">
        <v>46097</v>
      </c>
      <c r="G13" s="13" t="s">
        <v>133</v>
      </c>
      <c r="H13" s="13" t="s">
        <v>339</v>
      </c>
      <c r="I13" s="14"/>
      <c r="J13" s="15"/>
    </row>
    <row r="14" spans="1:10" ht="19.5" customHeight="1">
      <c r="A14" s="16" t="s">
        <v>28</v>
      </c>
      <c r="B14" s="16">
        <v>3</v>
      </c>
      <c r="C14" s="16"/>
      <c r="D14" s="16" t="s">
        <v>644</v>
      </c>
      <c r="E14" s="18"/>
      <c r="F14" s="17">
        <v>46097</v>
      </c>
      <c r="G14" s="17" t="s">
        <v>133</v>
      </c>
      <c r="H14" s="16" t="s">
        <v>123</v>
      </c>
      <c r="I14" s="17"/>
      <c r="J14" s="18"/>
    </row>
    <row r="15" spans="1:10" ht="19.5" customHeight="1">
      <c r="A15" s="13" t="s">
        <v>317</v>
      </c>
      <c r="B15" s="13">
        <v>2</v>
      </c>
      <c r="C15" s="13"/>
      <c r="D15" s="13"/>
      <c r="E15" s="15"/>
      <c r="F15" s="14">
        <v>46097</v>
      </c>
      <c r="G15" s="13" t="s">
        <v>133</v>
      </c>
      <c r="H15" s="13" t="s">
        <v>123</v>
      </c>
      <c r="I15" s="14"/>
      <c r="J15" s="15"/>
    </row>
    <row r="16" spans="1:10" ht="19.5" customHeight="1">
      <c r="A16" s="16" t="s">
        <v>111</v>
      </c>
      <c r="B16" s="16">
        <v>3</v>
      </c>
      <c r="C16" s="16"/>
      <c r="D16" s="16" t="s">
        <v>644</v>
      </c>
      <c r="E16" s="18"/>
      <c r="F16" s="17">
        <v>46097</v>
      </c>
      <c r="G16" s="17" t="s">
        <v>133</v>
      </c>
      <c r="H16" s="16" t="s">
        <v>123</v>
      </c>
      <c r="I16" s="17"/>
      <c r="J16" s="18"/>
    </row>
    <row r="17" spans="1:10" ht="19.5" customHeight="1">
      <c r="A17" s="13" t="s">
        <v>34</v>
      </c>
      <c r="B17" s="13">
        <v>3</v>
      </c>
      <c r="C17" s="13"/>
      <c r="D17" s="13" t="s">
        <v>644</v>
      </c>
      <c r="E17" s="15"/>
      <c r="F17" s="14">
        <v>46097</v>
      </c>
      <c r="G17" s="13" t="s">
        <v>133</v>
      </c>
      <c r="H17" s="13" t="s">
        <v>123</v>
      </c>
      <c r="I17" s="14"/>
      <c r="J17" s="15"/>
    </row>
    <row r="18" spans="1:10" ht="19.5" customHeight="1">
      <c r="A18" s="16" t="s">
        <v>649</v>
      </c>
      <c r="B18" s="16">
        <v>3</v>
      </c>
      <c r="C18" s="16"/>
      <c r="D18" s="16" t="s">
        <v>644</v>
      </c>
      <c r="E18" s="18"/>
      <c r="F18" s="17">
        <v>46097</v>
      </c>
      <c r="G18" s="17" t="s">
        <v>133</v>
      </c>
      <c r="H18" s="16" t="s">
        <v>123</v>
      </c>
      <c r="I18" s="17"/>
      <c r="J18" s="18"/>
    </row>
    <row r="19" spans="1:10" ht="19.5" customHeight="1">
      <c r="A19" s="13" t="s">
        <v>272</v>
      </c>
      <c r="B19" s="13">
        <v>3</v>
      </c>
      <c r="C19" s="13"/>
      <c r="D19" s="13" t="s">
        <v>644</v>
      </c>
      <c r="E19" s="15"/>
      <c r="F19" s="14">
        <v>46097</v>
      </c>
      <c r="G19" s="13" t="s">
        <v>133</v>
      </c>
      <c r="H19" s="13" t="s">
        <v>123</v>
      </c>
      <c r="I19" s="14"/>
      <c r="J19" s="15"/>
    </row>
    <row r="20" spans="1:10" ht="19.5" customHeight="1">
      <c r="A20" s="16" t="s">
        <v>182</v>
      </c>
      <c r="B20" s="16">
        <v>3</v>
      </c>
      <c r="C20" s="16"/>
      <c r="D20" s="16" t="s">
        <v>644</v>
      </c>
      <c r="E20" s="18"/>
      <c r="F20" s="17">
        <v>46097</v>
      </c>
      <c r="G20" s="17" t="s">
        <v>133</v>
      </c>
      <c r="H20" s="16" t="s">
        <v>123</v>
      </c>
      <c r="I20" s="17"/>
      <c r="J20" s="18"/>
    </row>
    <row r="21" spans="1:10" ht="19.5" customHeight="1">
      <c r="A21" s="13" t="s">
        <v>37</v>
      </c>
      <c r="B21" s="13">
        <v>3</v>
      </c>
      <c r="C21" s="13"/>
      <c r="D21" s="13" t="s">
        <v>644</v>
      </c>
      <c r="E21" s="15"/>
      <c r="F21" s="14">
        <v>46097</v>
      </c>
      <c r="G21" s="13" t="s">
        <v>133</v>
      </c>
      <c r="H21" s="13" t="s">
        <v>123</v>
      </c>
      <c r="I21" s="14"/>
      <c r="J21" s="15"/>
    </row>
    <row r="22" spans="1:10" ht="19.5" customHeight="1">
      <c r="A22" s="16" t="s">
        <v>365</v>
      </c>
      <c r="B22" s="16">
        <v>4</v>
      </c>
      <c r="C22" s="16"/>
      <c r="D22" s="16"/>
      <c r="E22" s="18"/>
      <c r="F22" s="17">
        <v>46097</v>
      </c>
      <c r="G22" s="17" t="s">
        <v>133</v>
      </c>
      <c r="H22" s="16" t="s">
        <v>123</v>
      </c>
      <c r="I22" s="17"/>
      <c r="J22" s="18"/>
    </row>
    <row r="23" spans="1:10" ht="19.5" customHeight="1">
      <c r="A23" s="13" t="s">
        <v>267</v>
      </c>
      <c r="B23" s="13">
        <v>4</v>
      </c>
      <c r="C23" s="13"/>
      <c r="D23" s="13" t="s">
        <v>644</v>
      </c>
      <c r="E23" s="15"/>
      <c r="F23" s="14">
        <v>46097</v>
      </c>
      <c r="G23" s="13" t="s">
        <v>133</v>
      </c>
      <c r="H23" s="13" t="s">
        <v>123</v>
      </c>
      <c r="I23" s="14"/>
      <c r="J23" s="15"/>
    </row>
    <row r="24" spans="1:10" ht="19.5" customHeight="1">
      <c r="A24" s="16" t="s">
        <v>40</v>
      </c>
      <c r="B24" s="16">
        <v>3</v>
      </c>
      <c r="C24" s="16"/>
      <c r="D24" s="16" t="s">
        <v>644</v>
      </c>
      <c r="E24" s="18"/>
      <c r="F24" s="17">
        <v>46097</v>
      </c>
      <c r="G24" s="17" t="s">
        <v>133</v>
      </c>
      <c r="H24" s="16" t="s">
        <v>123</v>
      </c>
      <c r="I24" s="17"/>
      <c r="J24" s="18"/>
    </row>
    <row r="25" spans="1:10" ht="19.5" customHeight="1">
      <c r="A25" s="13" t="s">
        <v>351</v>
      </c>
      <c r="B25" s="13">
        <v>6</v>
      </c>
      <c r="C25" s="13"/>
      <c r="D25" s="13" t="s">
        <v>644</v>
      </c>
      <c r="E25" s="15"/>
      <c r="F25" s="14">
        <v>46097</v>
      </c>
      <c r="G25" s="13" t="s">
        <v>133</v>
      </c>
      <c r="H25" s="13" t="s">
        <v>123</v>
      </c>
      <c r="I25" s="14"/>
      <c r="J25" s="15"/>
    </row>
    <row r="26" spans="1:10" ht="19.5" customHeight="1">
      <c r="A26" s="16" t="s">
        <v>43</v>
      </c>
      <c r="B26" s="16">
        <v>1</v>
      </c>
      <c r="C26" s="16"/>
      <c r="D26" s="16" t="s">
        <v>644</v>
      </c>
      <c r="E26" s="18"/>
      <c r="F26" s="17">
        <v>46097</v>
      </c>
      <c r="G26" s="17" t="s">
        <v>133</v>
      </c>
      <c r="H26" s="16" t="s">
        <v>123</v>
      </c>
      <c r="I26" s="17"/>
      <c r="J26" s="18"/>
    </row>
    <row r="27" spans="1:10" ht="19.5" customHeight="1">
      <c r="A27" s="13" t="s">
        <v>311</v>
      </c>
      <c r="B27" s="13">
        <v>1</v>
      </c>
      <c r="C27" s="13"/>
      <c r="D27" s="13" t="s">
        <v>644</v>
      </c>
      <c r="E27" s="15"/>
      <c r="F27" s="14">
        <v>46097</v>
      </c>
      <c r="G27" s="13" t="s">
        <v>133</v>
      </c>
      <c r="H27" s="13" t="s">
        <v>123</v>
      </c>
      <c r="I27" s="14"/>
      <c r="J27" s="15"/>
    </row>
    <row r="28" spans="1:10" ht="19.5" customHeight="1">
      <c r="A28" s="16" t="s">
        <v>46</v>
      </c>
      <c r="B28" s="16">
        <v>1</v>
      </c>
      <c r="C28" s="16"/>
      <c r="D28" s="16" t="s">
        <v>644</v>
      </c>
      <c r="E28" s="18"/>
      <c r="F28" s="17">
        <v>46097</v>
      </c>
      <c r="G28" s="17" t="s">
        <v>133</v>
      </c>
      <c r="H28" s="16" t="s">
        <v>123</v>
      </c>
      <c r="I28" s="17"/>
      <c r="J28" s="18"/>
    </row>
    <row r="29" spans="1:10" ht="19.5" customHeight="1">
      <c r="A29" s="13"/>
      <c r="B29" s="13"/>
      <c r="C29" s="13"/>
      <c r="D29" s="13"/>
      <c r="E29" s="15"/>
      <c r="F29" s="14"/>
      <c r="G29" s="13"/>
      <c r="H29" s="13"/>
      <c r="I29" s="14"/>
      <c r="J29" s="15"/>
    </row>
    <row r="30" spans="1:10" ht="19.5" customHeight="1">
      <c r="A30" s="16"/>
      <c r="B30" s="16"/>
      <c r="C30" s="16"/>
      <c r="D30" s="16"/>
      <c r="E30" s="18"/>
      <c r="F30" s="17"/>
      <c r="G30" s="17"/>
      <c r="H30" s="16"/>
      <c r="I30" s="17"/>
      <c r="J30" s="18"/>
    </row>
    <row r="31" spans="1:10" ht="19.5" customHeight="1">
      <c r="A31" s="13"/>
      <c r="B31" s="13"/>
      <c r="C31" s="13"/>
      <c r="D31" s="13"/>
      <c r="E31" s="15"/>
      <c r="F31" s="14"/>
      <c r="G31" s="13"/>
      <c r="H31" s="13"/>
      <c r="I31" s="14"/>
      <c r="J31" s="15"/>
    </row>
    <row r="32" spans="1:10" ht="19.5" customHeight="1">
      <c r="A32" s="16"/>
      <c r="B32" s="16"/>
      <c r="C32" s="16"/>
      <c r="D32" s="16"/>
      <c r="E32" s="18"/>
      <c r="F32" s="17"/>
      <c r="G32" s="17"/>
      <c r="H32" s="16"/>
      <c r="I32" s="17"/>
      <c r="J32" s="18"/>
    </row>
    <row r="33" spans="1:10" ht="19.5" customHeight="1">
      <c r="A33" s="13"/>
      <c r="B33" s="13"/>
      <c r="C33" s="13"/>
      <c r="D33" s="13"/>
      <c r="E33" s="15"/>
      <c r="F33" s="14"/>
      <c r="G33" s="13"/>
      <c r="H33" s="13"/>
      <c r="I33" s="14"/>
      <c r="J33" s="15"/>
    </row>
    <row r="34" spans="1:10" ht="19.5" customHeight="1">
      <c r="A34" s="16"/>
      <c r="B34" s="16"/>
      <c r="C34" s="16"/>
      <c r="D34" s="16"/>
      <c r="E34" s="18"/>
      <c r="F34" s="17"/>
      <c r="G34" s="17"/>
      <c r="H34" s="16"/>
      <c r="I34" s="17"/>
      <c r="J34" s="18"/>
    </row>
    <row r="35" spans="1:10" ht="19.5" customHeight="1">
      <c r="A35" s="13"/>
      <c r="B35" s="13"/>
      <c r="C35" s="13"/>
      <c r="D35" s="13"/>
      <c r="E35" s="15"/>
      <c r="F35" s="14"/>
      <c r="G35" s="13"/>
      <c r="H35" s="13"/>
      <c r="I35" s="14"/>
      <c r="J35" s="15"/>
    </row>
    <row r="36" spans="1:10" ht="19.5" customHeight="1">
      <c r="A36" s="16"/>
      <c r="B36" s="16"/>
      <c r="C36" s="16"/>
      <c r="D36" s="16"/>
      <c r="E36" s="18"/>
      <c r="F36" s="17"/>
      <c r="G36" s="17"/>
      <c r="H36" s="16"/>
      <c r="I36" s="17"/>
      <c r="J36" s="18"/>
    </row>
    <row r="37" spans="1:10" ht="19.5" customHeight="1">
      <c r="A37" s="13"/>
      <c r="B37" s="13"/>
      <c r="C37" s="13"/>
      <c r="D37" s="13"/>
      <c r="E37" s="15"/>
      <c r="F37" s="14"/>
      <c r="G37" s="13"/>
      <c r="H37" s="13"/>
      <c r="I37" s="14"/>
      <c r="J37" s="15"/>
    </row>
    <row r="38" spans="1:10" ht="19.5" customHeight="1">
      <c r="A38" s="16"/>
      <c r="B38" s="16"/>
      <c r="C38" s="16"/>
      <c r="D38" s="16"/>
      <c r="E38" s="18"/>
      <c r="F38" s="17"/>
      <c r="G38" s="17"/>
      <c r="H38" s="16"/>
      <c r="I38" s="17"/>
      <c r="J38" s="18"/>
    </row>
    <row r="39" spans="1:10" ht="19.5" customHeight="1">
      <c r="A39" s="13"/>
      <c r="B39" s="13"/>
      <c r="C39" s="13"/>
      <c r="D39" s="13"/>
      <c r="E39" s="15"/>
      <c r="F39" s="14"/>
      <c r="G39" s="13"/>
      <c r="H39" s="13"/>
      <c r="I39" s="14"/>
      <c r="J39" s="15"/>
    </row>
    <row r="40" spans="1:10" ht="19.5" customHeight="1">
      <c r="A40" s="16"/>
      <c r="B40" s="16"/>
      <c r="C40" s="16"/>
      <c r="D40" s="16"/>
      <c r="E40" s="18"/>
      <c r="F40" s="17"/>
      <c r="G40" s="17"/>
      <c r="H40" s="16"/>
      <c r="I40" s="17"/>
      <c r="J40" s="18"/>
    </row>
    <row r="41" spans="1:10" ht="19.5" customHeight="1">
      <c r="A41" s="13"/>
      <c r="B41" s="13"/>
      <c r="C41" s="13"/>
      <c r="D41" s="13"/>
      <c r="E41" s="15"/>
      <c r="F41" s="14"/>
      <c r="G41" s="13"/>
      <c r="H41" s="13"/>
      <c r="I41" s="14"/>
      <c r="J41" s="15"/>
    </row>
    <row r="42" spans="1:10" ht="19.5" customHeight="1">
      <c r="A42" s="16"/>
      <c r="B42" s="16"/>
      <c r="C42" s="16"/>
      <c r="D42" s="16"/>
      <c r="E42" s="18"/>
      <c r="F42" s="17"/>
      <c r="G42" s="17"/>
      <c r="H42" s="16"/>
      <c r="I42" s="17"/>
      <c r="J42" s="18"/>
    </row>
    <row r="43" spans="1:10" ht="19.5" customHeight="1">
      <c r="A43" s="13"/>
      <c r="B43" s="13"/>
      <c r="C43" s="13"/>
      <c r="D43" s="13"/>
      <c r="E43" s="15"/>
      <c r="F43" s="14"/>
      <c r="G43" s="13"/>
      <c r="H43" s="13"/>
      <c r="I43" s="14"/>
      <c r="J43" s="15"/>
    </row>
    <row r="44" spans="1:10" ht="19.5" customHeight="1">
      <c r="A44" s="16"/>
      <c r="B44" s="16"/>
      <c r="C44" s="16"/>
      <c r="D44" s="16"/>
      <c r="E44" s="18"/>
      <c r="F44" s="17"/>
      <c r="G44" s="17"/>
      <c r="H44" s="16"/>
      <c r="I44" s="17"/>
      <c r="J44" s="18"/>
    </row>
    <row r="45" spans="1:10" ht="19.5" customHeight="1">
      <c r="A45" s="13"/>
      <c r="B45" s="13"/>
      <c r="C45" s="13"/>
      <c r="D45" s="13"/>
      <c r="E45" s="15"/>
      <c r="F45" s="14"/>
      <c r="G45" s="13"/>
      <c r="H45" s="13"/>
      <c r="I45" s="14"/>
      <c r="J45" s="15"/>
    </row>
    <row r="46" spans="1:10" ht="19.5" customHeight="1">
      <c r="A46" s="16"/>
      <c r="B46" s="16"/>
      <c r="C46" s="16"/>
      <c r="D46" s="16"/>
      <c r="E46" s="18"/>
      <c r="F46" s="17"/>
      <c r="G46" s="17"/>
      <c r="H46" s="16"/>
      <c r="I46" s="17"/>
      <c r="J46" s="18"/>
    </row>
    <row r="47" spans="1:10" ht="19.5" customHeight="1">
      <c r="A47" s="13"/>
      <c r="B47" s="13"/>
      <c r="C47" s="13"/>
      <c r="D47" s="13"/>
      <c r="E47" s="15"/>
      <c r="F47" s="14"/>
      <c r="G47" s="13"/>
      <c r="H47" s="13"/>
      <c r="I47" s="14"/>
      <c r="J47" s="15"/>
    </row>
    <row r="48" spans="1:10" ht="19.5" customHeight="1">
      <c r="A48" s="16"/>
      <c r="B48" s="16"/>
      <c r="C48" s="16"/>
      <c r="D48" s="16"/>
      <c r="E48" s="18"/>
      <c r="F48" s="17"/>
      <c r="G48" s="17"/>
      <c r="H48" s="16"/>
      <c r="I48" s="17"/>
      <c r="J48" s="18"/>
    </row>
    <row r="49" spans="1:10" ht="19.5" customHeight="1">
      <c r="A49" s="13"/>
      <c r="B49" s="13"/>
      <c r="C49" s="13"/>
      <c r="D49" s="13"/>
      <c r="E49" s="15"/>
      <c r="F49" s="14"/>
      <c r="G49" s="13"/>
      <c r="H49" s="13"/>
      <c r="I49" s="14"/>
      <c r="J49" s="15"/>
    </row>
    <row r="50" spans="1:10" ht="19.5" customHeight="1">
      <c r="A50" s="16"/>
      <c r="B50" s="16"/>
      <c r="C50" s="16"/>
      <c r="D50" s="16"/>
      <c r="E50" s="18"/>
      <c r="F50" s="17"/>
      <c r="G50" s="17"/>
      <c r="H50" s="16"/>
      <c r="I50" s="17"/>
      <c r="J50" s="18"/>
    </row>
    <row r="51" spans="1:10" ht="19.5" customHeight="1">
      <c r="A51" s="13"/>
      <c r="B51" s="13"/>
      <c r="C51" s="13"/>
      <c r="D51" s="13"/>
      <c r="E51" s="15"/>
      <c r="F51" s="14"/>
      <c r="G51" s="13"/>
      <c r="H51" s="13"/>
      <c r="I51" s="14"/>
      <c r="J51" s="15"/>
    </row>
    <row r="52" spans="1:10" ht="19.5" customHeight="1">
      <c r="A52" s="16"/>
      <c r="B52" s="16"/>
      <c r="C52" s="16"/>
      <c r="D52" s="16"/>
      <c r="E52" s="18"/>
      <c r="F52" s="17"/>
      <c r="G52" s="17"/>
      <c r="H52" s="16"/>
      <c r="I52" s="17"/>
      <c r="J52" s="18"/>
    </row>
    <row r="53" spans="1:10" ht="19.5" customHeight="1">
      <c r="A53" s="13"/>
      <c r="B53" s="13"/>
      <c r="C53" s="13"/>
      <c r="D53" s="13"/>
      <c r="E53" s="15"/>
      <c r="F53" s="14"/>
      <c r="G53" s="13"/>
      <c r="H53" s="13"/>
      <c r="I53" s="14"/>
      <c r="J53" s="15"/>
    </row>
    <row r="54" spans="1:10" ht="19.5" customHeight="1">
      <c r="A54" s="16"/>
      <c r="B54" s="16"/>
      <c r="C54" s="16"/>
      <c r="D54" s="16"/>
      <c r="E54" s="18"/>
      <c r="F54" s="17"/>
      <c r="G54" s="17"/>
      <c r="H54" s="16"/>
      <c r="I54" s="17"/>
      <c r="J54" s="18"/>
    </row>
    <row r="55" spans="1:10" ht="19.5" customHeight="1">
      <c r="A55" s="13"/>
      <c r="B55" s="13"/>
      <c r="C55" s="13"/>
      <c r="D55" s="13"/>
      <c r="E55" s="15"/>
      <c r="F55" s="14"/>
      <c r="G55" s="13"/>
      <c r="H55" s="13"/>
      <c r="I55" s="14"/>
      <c r="J55" s="15"/>
    </row>
    <row r="56" spans="1:10" ht="19.5" customHeight="1">
      <c r="A56" s="16"/>
      <c r="B56" s="16"/>
      <c r="C56" s="16"/>
      <c r="D56" s="16"/>
      <c r="E56" s="18"/>
      <c r="F56" s="17"/>
      <c r="G56" s="17"/>
      <c r="H56" s="16"/>
      <c r="I56" s="17"/>
      <c r="J56" s="18"/>
    </row>
    <row r="57" spans="1:10" ht="19.5" customHeight="1">
      <c r="A57" s="13"/>
      <c r="B57" s="13"/>
      <c r="C57" s="13"/>
      <c r="D57" s="13"/>
      <c r="E57" s="15"/>
      <c r="F57" s="14"/>
      <c r="G57" s="13"/>
      <c r="H57" s="13"/>
      <c r="I57" s="14"/>
      <c r="J57" s="15"/>
    </row>
    <row r="58" spans="1:10" ht="19.5" customHeight="1">
      <c r="A58" s="16"/>
      <c r="B58" s="16"/>
      <c r="C58" s="16"/>
      <c r="D58" s="16"/>
      <c r="E58" s="18"/>
      <c r="F58" s="17"/>
      <c r="G58" s="17"/>
      <c r="H58" s="16"/>
      <c r="I58" s="17"/>
      <c r="J58" s="18"/>
    </row>
    <row r="59" spans="1:10" ht="19.5" customHeight="1">
      <c r="A59" s="13"/>
      <c r="B59" s="13"/>
      <c r="C59" s="13"/>
      <c r="D59" s="13"/>
      <c r="E59" s="15"/>
      <c r="F59" s="14"/>
      <c r="G59" s="13"/>
      <c r="H59" s="13"/>
      <c r="I59" s="14"/>
      <c r="J59" s="15"/>
    </row>
    <row r="60" spans="1:10" ht="19.5" customHeight="1">
      <c r="A60" s="16"/>
      <c r="B60" s="16"/>
      <c r="C60" s="16"/>
      <c r="D60" s="16"/>
      <c r="E60" s="18"/>
      <c r="F60" s="17"/>
      <c r="G60" s="17"/>
      <c r="H60" s="16"/>
      <c r="I60" s="17"/>
      <c r="J60" s="18"/>
    </row>
    <row r="61" spans="1:10" ht="19.5" customHeight="1">
      <c r="A61" s="13"/>
      <c r="B61" s="13"/>
      <c r="C61" s="13"/>
      <c r="D61" s="13"/>
      <c r="E61" s="15"/>
      <c r="F61" s="14"/>
      <c r="G61" s="13"/>
      <c r="H61" s="13"/>
      <c r="I61" s="14"/>
      <c r="J61" s="15"/>
    </row>
    <row r="62" spans="1:10" ht="19.5" customHeight="1">
      <c r="A62" s="16"/>
      <c r="B62" s="16"/>
      <c r="C62" s="16"/>
      <c r="D62" s="16"/>
      <c r="E62" s="18"/>
      <c r="F62" s="17"/>
      <c r="G62" s="17"/>
      <c r="H62" s="16"/>
      <c r="I62" s="17"/>
      <c r="J62" s="18"/>
    </row>
    <row r="63" spans="1:10" ht="19.5" customHeight="1">
      <c r="A63" s="13"/>
      <c r="B63" s="13"/>
      <c r="C63" s="13"/>
      <c r="D63" s="13"/>
      <c r="E63" s="15"/>
      <c r="F63" s="14"/>
      <c r="G63" s="13"/>
      <c r="H63" s="13"/>
      <c r="I63" s="14"/>
      <c r="J63" s="15"/>
    </row>
    <row r="64" spans="1:10" ht="19.5" customHeight="1">
      <c r="A64" s="16"/>
      <c r="B64" s="16"/>
      <c r="C64" s="16"/>
      <c r="D64" s="16"/>
      <c r="E64" s="18"/>
      <c r="F64" s="17"/>
      <c r="G64" s="17"/>
      <c r="H64" s="16"/>
      <c r="I64" s="17"/>
      <c r="J64" s="18"/>
    </row>
    <row r="65" spans="1:10" ht="19.5" customHeight="1">
      <c r="A65" s="13"/>
      <c r="B65" s="13"/>
      <c r="C65" s="13"/>
      <c r="D65" s="13"/>
      <c r="E65" s="15"/>
      <c r="F65" s="14"/>
      <c r="G65" s="13"/>
      <c r="H65" s="13"/>
      <c r="I65" s="14"/>
      <c r="J65" s="15"/>
    </row>
    <row r="66" spans="1:10" ht="19.5" customHeight="1">
      <c r="A66" s="16"/>
      <c r="B66" s="16"/>
      <c r="C66" s="16"/>
      <c r="D66" s="16"/>
      <c r="E66" s="18"/>
      <c r="F66" s="17"/>
      <c r="G66" s="17"/>
      <c r="H66" s="16"/>
      <c r="I66" s="17"/>
      <c r="J66" s="18"/>
    </row>
    <row r="67" spans="1:10" ht="19.5" customHeight="1">
      <c r="A67" s="13"/>
      <c r="B67" s="13"/>
      <c r="C67" s="13"/>
      <c r="D67" s="13"/>
      <c r="E67" s="15"/>
      <c r="F67" s="14"/>
      <c r="G67" s="13"/>
      <c r="H67" s="13"/>
      <c r="I67" s="14"/>
      <c r="J67" s="15"/>
    </row>
    <row r="68" spans="1:10" ht="19.5" customHeight="1">
      <c r="A68" s="16"/>
      <c r="B68" s="16"/>
      <c r="C68" s="16"/>
      <c r="D68" s="16"/>
      <c r="E68" s="18"/>
      <c r="F68" s="17"/>
      <c r="G68" s="17"/>
      <c r="H68" s="16"/>
      <c r="I68" s="17"/>
      <c r="J68" s="18"/>
    </row>
    <row r="69" spans="1:10" ht="19.5" customHeight="1">
      <c r="A69" s="13"/>
      <c r="B69" s="13"/>
      <c r="C69" s="13"/>
      <c r="D69" s="13"/>
      <c r="E69" s="15"/>
      <c r="F69" s="14"/>
      <c r="G69" s="13"/>
      <c r="H69" s="13"/>
      <c r="I69" s="14"/>
      <c r="J69" s="15"/>
    </row>
    <row r="70" spans="1:10" ht="19.5" customHeight="1">
      <c r="A70" s="16"/>
      <c r="B70" s="16"/>
      <c r="C70" s="16"/>
      <c r="D70" s="16"/>
      <c r="E70" s="18"/>
      <c r="F70" s="17"/>
      <c r="G70" s="17"/>
      <c r="H70" s="16"/>
      <c r="I70" s="17"/>
      <c r="J70" s="18"/>
    </row>
    <row r="71" spans="1:10" ht="19.5" customHeight="1">
      <c r="A71" s="13"/>
      <c r="B71" s="13"/>
      <c r="C71" s="13"/>
      <c r="D71" s="13"/>
      <c r="E71" s="15"/>
      <c r="F71" s="14"/>
      <c r="G71" s="13"/>
      <c r="H71" s="13"/>
      <c r="I71" s="14"/>
      <c r="J71" s="15"/>
    </row>
    <row r="72" spans="1:10" ht="19.5" customHeight="1">
      <c r="A72" s="16"/>
      <c r="B72" s="16"/>
      <c r="C72" s="16"/>
      <c r="D72" s="16"/>
      <c r="E72" s="18"/>
      <c r="F72" s="17"/>
      <c r="G72" s="17"/>
      <c r="H72" s="16"/>
      <c r="I72" s="17"/>
      <c r="J72" s="18"/>
    </row>
    <row r="73" spans="1:10" ht="19.5" customHeight="1">
      <c r="A73" s="13"/>
      <c r="B73" s="13"/>
      <c r="C73" s="13"/>
      <c r="D73" s="13"/>
      <c r="E73" s="15"/>
      <c r="F73" s="14"/>
      <c r="G73" s="13"/>
      <c r="H73" s="13"/>
      <c r="I73" s="14"/>
      <c r="J73" s="15"/>
    </row>
    <row r="74" spans="1:10" ht="19.5" customHeight="1">
      <c r="A74" s="16"/>
      <c r="B74" s="16"/>
      <c r="C74" s="16"/>
      <c r="D74" s="16"/>
      <c r="E74" s="18"/>
      <c r="F74" s="17"/>
      <c r="G74" s="17"/>
      <c r="H74" s="16"/>
      <c r="I74" s="17"/>
      <c r="J74" s="18"/>
    </row>
    <row r="75" spans="1:10" ht="19.5" customHeight="1">
      <c r="A75" s="13"/>
      <c r="B75" s="13"/>
      <c r="C75" s="13"/>
      <c r="D75" s="13"/>
      <c r="E75" s="15"/>
      <c r="F75" s="14"/>
      <c r="G75" s="13"/>
      <c r="H75" s="13"/>
      <c r="I75" s="14"/>
      <c r="J75" s="15"/>
    </row>
    <row r="76" spans="1:10" ht="19.5" customHeight="1">
      <c r="A76" s="16"/>
      <c r="B76" s="16"/>
      <c r="C76" s="16"/>
      <c r="D76" s="16"/>
      <c r="E76" s="18"/>
      <c r="F76" s="17"/>
      <c r="G76" s="17"/>
      <c r="H76" s="16"/>
      <c r="I76" s="17"/>
      <c r="J76" s="18"/>
    </row>
    <row r="77" spans="1:10" ht="19.5" customHeight="1">
      <c r="A77" s="13"/>
      <c r="B77" s="13"/>
      <c r="C77" s="13"/>
      <c r="D77" s="13"/>
      <c r="E77" s="15"/>
      <c r="F77" s="14"/>
      <c r="G77" s="13"/>
      <c r="H77" s="13"/>
      <c r="I77" s="14"/>
      <c r="J77" s="15"/>
    </row>
    <row r="78" spans="1:10" ht="19.5" customHeight="1">
      <c r="A78" s="16"/>
      <c r="B78" s="16"/>
      <c r="C78" s="16"/>
      <c r="D78" s="16"/>
      <c r="E78" s="18"/>
      <c r="F78" s="17"/>
      <c r="G78" s="17"/>
      <c r="H78" s="16"/>
      <c r="I78" s="17"/>
      <c r="J78" s="18"/>
    </row>
    <row r="79" spans="1:10" ht="19.5" customHeight="1">
      <c r="A79" s="13"/>
      <c r="B79" s="13"/>
      <c r="C79" s="13"/>
      <c r="D79" s="13"/>
      <c r="E79" s="15"/>
      <c r="F79" s="14"/>
      <c r="G79" s="13"/>
      <c r="H79" s="13"/>
      <c r="I79" s="14"/>
      <c r="J79" s="15"/>
    </row>
    <row r="80" spans="1:10" ht="19.5" customHeight="1">
      <c r="A80" s="16"/>
      <c r="B80" s="16"/>
      <c r="C80" s="16"/>
      <c r="D80" s="16"/>
      <c r="E80" s="18"/>
      <c r="F80" s="17"/>
      <c r="G80" s="17"/>
      <c r="H80" s="16"/>
      <c r="I80" s="17"/>
      <c r="J80" s="18"/>
    </row>
    <row r="81" spans="1:10" ht="19.5" customHeight="1">
      <c r="A81" s="13"/>
      <c r="B81" s="13"/>
      <c r="C81" s="13"/>
      <c r="D81" s="13"/>
      <c r="E81" s="15"/>
      <c r="F81" s="14"/>
      <c r="G81" s="13"/>
      <c r="H81" s="13"/>
      <c r="I81" s="14"/>
      <c r="J81" s="15"/>
    </row>
    <row r="82" spans="1:10" ht="19.5" customHeight="1">
      <c r="A82" s="16"/>
      <c r="B82" s="16"/>
      <c r="C82" s="16"/>
      <c r="D82" s="16"/>
      <c r="E82" s="18"/>
      <c r="F82" s="17"/>
      <c r="G82" s="17"/>
      <c r="H82" s="16"/>
      <c r="I82" s="17"/>
      <c r="J82" s="18"/>
    </row>
    <row r="83" spans="1:10" ht="19.5" customHeight="1">
      <c r="A83" s="13"/>
      <c r="B83" s="13"/>
      <c r="C83" s="13"/>
      <c r="D83" s="13"/>
      <c r="E83" s="15"/>
      <c r="F83" s="14"/>
      <c r="G83" s="13"/>
      <c r="H83" s="13"/>
      <c r="I83" s="14"/>
      <c r="J83" s="15"/>
    </row>
    <row r="84" spans="1:10" ht="19.5" customHeight="1">
      <c r="A84" s="16"/>
      <c r="B84" s="16"/>
      <c r="C84" s="16"/>
      <c r="D84" s="16"/>
      <c r="E84" s="18"/>
      <c r="F84" s="17"/>
      <c r="G84" s="17"/>
      <c r="H84" s="16"/>
      <c r="I84" s="17"/>
      <c r="J84" s="18"/>
    </row>
    <row r="85" spans="1:10" ht="19.5" customHeight="1">
      <c r="A85" s="13"/>
      <c r="B85" s="13"/>
      <c r="C85" s="13"/>
      <c r="D85" s="13"/>
      <c r="E85" s="15"/>
      <c r="F85" s="14"/>
      <c r="G85" s="13"/>
      <c r="H85" s="13"/>
      <c r="I85" s="14"/>
      <c r="J85" s="15"/>
    </row>
    <row r="86" spans="1:10" ht="19.5" customHeight="1">
      <c r="A86" s="16"/>
      <c r="B86" s="16"/>
      <c r="C86" s="16"/>
      <c r="D86" s="16"/>
      <c r="E86" s="18"/>
      <c r="F86" s="17"/>
      <c r="G86" s="17"/>
      <c r="H86" s="16"/>
      <c r="I86" s="17"/>
      <c r="J86" s="18"/>
    </row>
    <row r="87" spans="1:10" ht="19.5" customHeight="1">
      <c r="A87" s="13"/>
      <c r="B87" s="13"/>
      <c r="C87" s="13"/>
      <c r="D87" s="13"/>
      <c r="E87" s="15"/>
      <c r="F87" s="14"/>
      <c r="G87" s="13"/>
      <c r="H87" s="13"/>
      <c r="I87" s="14"/>
      <c r="J87" s="15"/>
    </row>
    <row r="88" spans="1:10" ht="19.5" customHeight="1">
      <c r="A88" s="16"/>
      <c r="B88" s="16"/>
      <c r="C88" s="16"/>
      <c r="D88" s="16"/>
      <c r="E88" s="18"/>
      <c r="F88" s="17"/>
      <c r="G88" s="17"/>
      <c r="H88" s="16"/>
      <c r="I88" s="17"/>
      <c r="J88" s="18"/>
    </row>
    <row r="89" spans="1:10" ht="19.5" customHeight="1">
      <c r="A89" s="13"/>
      <c r="B89" s="13"/>
      <c r="C89" s="13"/>
      <c r="D89" s="13"/>
      <c r="E89" s="15"/>
      <c r="F89" s="14"/>
      <c r="G89" s="13"/>
      <c r="H89" s="13"/>
      <c r="I89" s="14"/>
      <c r="J89" s="15"/>
    </row>
    <row r="90" spans="1:10" ht="19.5" customHeight="1">
      <c r="A90" s="16"/>
      <c r="B90" s="16"/>
      <c r="C90" s="16"/>
      <c r="D90" s="16"/>
      <c r="E90" s="18"/>
      <c r="F90" s="17"/>
      <c r="G90" s="17"/>
      <c r="H90" s="16"/>
      <c r="I90" s="17"/>
      <c r="J90" s="18"/>
    </row>
    <row r="91" spans="1:10" ht="19.5" customHeight="1">
      <c r="A91" s="13"/>
      <c r="B91" s="13"/>
      <c r="C91" s="13"/>
      <c r="D91" s="13"/>
      <c r="E91" s="15"/>
      <c r="F91" s="14"/>
      <c r="G91" s="13"/>
      <c r="H91" s="13"/>
      <c r="I91" s="14"/>
      <c r="J91" s="15"/>
    </row>
    <row r="92" spans="1:10" ht="19.5" customHeight="1">
      <c r="A92" s="16"/>
      <c r="B92" s="16"/>
      <c r="C92" s="16"/>
      <c r="D92" s="16"/>
      <c r="E92" s="18"/>
      <c r="F92" s="17"/>
      <c r="G92" s="17"/>
      <c r="H92" s="16"/>
      <c r="I92" s="17"/>
      <c r="J92" s="18"/>
    </row>
    <row r="93" spans="1:10" ht="19.5" customHeight="1">
      <c r="A93" s="13"/>
      <c r="B93" s="13"/>
      <c r="C93" s="13"/>
      <c r="D93" s="13"/>
      <c r="E93" s="15"/>
      <c r="F93" s="14"/>
      <c r="G93" s="13"/>
      <c r="H93" s="13"/>
      <c r="I93" s="14"/>
      <c r="J93" s="15"/>
    </row>
    <row r="94" spans="1:10" ht="19.5" customHeight="1">
      <c r="A94" s="16"/>
      <c r="B94" s="16"/>
      <c r="C94" s="16"/>
      <c r="D94" s="16"/>
      <c r="E94" s="18"/>
      <c r="F94" s="17"/>
      <c r="G94" s="17"/>
      <c r="H94" s="16"/>
      <c r="I94" s="17"/>
      <c r="J94" s="18"/>
    </row>
    <row r="95" spans="1:10" ht="19.5" customHeight="1">
      <c r="A95" s="13"/>
      <c r="B95" s="13"/>
      <c r="C95" s="13"/>
      <c r="D95" s="13"/>
      <c r="E95" s="15"/>
      <c r="F95" s="14"/>
      <c r="G95" s="13"/>
      <c r="H95" s="13"/>
      <c r="I95" s="14"/>
      <c r="J95" s="15"/>
    </row>
    <row r="96" spans="1:10" ht="19.5" customHeight="1">
      <c r="A96" s="16"/>
      <c r="B96" s="16"/>
      <c r="C96" s="16"/>
      <c r="D96" s="16"/>
      <c r="E96" s="18"/>
      <c r="F96" s="17"/>
      <c r="G96" s="17"/>
      <c r="H96" s="16"/>
      <c r="I96" s="17"/>
      <c r="J96" s="18"/>
    </row>
    <row r="97" spans="1:10" ht="19.5" customHeight="1">
      <c r="A97" s="13"/>
      <c r="B97" s="13"/>
      <c r="C97" s="13"/>
      <c r="D97" s="13"/>
      <c r="E97" s="15"/>
      <c r="F97" s="14"/>
      <c r="G97" s="13"/>
      <c r="H97" s="13"/>
      <c r="I97" s="14"/>
      <c r="J97" s="15"/>
    </row>
    <row r="98" spans="1:10" ht="19.5" customHeight="1">
      <c r="A98" s="16"/>
      <c r="B98" s="16"/>
      <c r="C98" s="16"/>
      <c r="D98" s="16"/>
      <c r="E98" s="18"/>
      <c r="F98" s="17"/>
      <c r="G98" s="17"/>
      <c r="H98" s="16"/>
      <c r="I98" s="17"/>
      <c r="J98" s="18"/>
    </row>
    <row r="99" spans="1:10" ht="19.5" customHeight="1">
      <c r="A99" s="13"/>
      <c r="B99" s="13"/>
      <c r="C99" s="13"/>
      <c r="D99" s="13"/>
      <c r="E99" s="15"/>
      <c r="F99" s="14"/>
      <c r="G99" s="13"/>
      <c r="H99" s="13"/>
      <c r="I99" s="14"/>
      <c r="J99" s="15"/>
    </row>
    <row r="100" spans="1:10" ht="19.5" customHeight="1">
      <c r="A100" s="16"/>
      <c r="B100" s="16"/>
      <c r="C100" s="16"/>
      <c r="D100" s="16"/>
      <c r="E100" s="18"/>
      <c r="F100" s="17"/>
      <c r="G100" s="17"/>
      <c r="H100" s="16"/>
      <c r="I100" s="17"/>
      <c r="J100" s="18"/>
    </row>
    <row r="101" spans="1:10" ht="19.5" customHeight="1">
      <c r="A101" s="13"/>
      <c r="B101" s="13"/>
      <c r="C101" s="13"/>
      <c r="D101" s="13"/>
      <c r="E101" s="15"/>
      <c r="F101" s="14"/>
      <c r="G101" s="13"/>
      <c r="H101" s="13"/>
      <c r="I101" s="14"/>
      <c r="J101" s="15"/>
    </row>
    <row r="102" spans="1:10" ht="19.5" customHeight="1">
      <c r="A102" s="16"/>
      <c r="B102" s="16"/>
      <c r="C102" s="16"/>
      <c r="D102" s="16"/>
      <c r="E102" s="18"/>
      <c r="F102" s="17"/>
      <c r="G102" s="17"/>
      <c r="H102" s="16"/>
      <c r="I102" s="17"/>
      <c r="J102" s="18"/>
    </row>
    <row r="103" spans="1:10" ht="19.5" customHeight="1">
      <c r="A103" s="13"/>
      <c r="B103" s="13"/>
      <c r="C103" s="13"/>
      <c r="D103" s="13"/>
      <c r="E103" s="15"/>
      <c r="F103" s="14"/>
      <c r="G103" s="13"/>
      <c r="H103" s="13"/>
      <c r="I103" s="14"/>
      <c r="J103" s="15"/>
    </row>
    <row r="104" spans="1:10" ht="19.5" customHeight="1">
      <c r="A104" s="16"/>
      <c r="B104" s="16"/>
      <c r="C104" s="16"/>
      <c r="D104" s="16"/>
      <c r="E104" s="18"/>
      <c r="F104" s="17"/>
      <c r="G104" s="17"/>
      <c r="H104" s="16"/>
      <c r="I104" s="17"/>
      <c r="J104" s="18"/>
    </row>
    <row r="105" spans="1:10" ht="19.5" customHeight="1">
      <c r="A105" s="13"/>
      <c r="B105" s="13"/>
      <c r="C105" s="13"/>
      <c r="D105" s="13"/>
      <c r="E105" s="15"/>
      <c r="F105" s="14"/>
      <c r="G105" s="13"/>
      <c r="H105" s="13"/>
      <c r="I105" s="14"/>
      <c r="J105" s="15"/>
    </row>
    <row r="106" spans="1:10" ht="19.5" customHeight="1">
      <c r="A106" s="16"/>
      <c r="B106" s="16"/>
      <c r="C106" s="16"/>
      <c r="D106" s="16"/>
      <c r="E106" s="18"/>
      <c r="F106" s="17"/>
      <c r="G106" s="17"/>
      <c r="H106" s="16"/>
      <c r="I106" s="17"/>
      <c r="J106" s="18"/>
    </row>
    <row r="107" spans="1:10" ht="19.5" customHeight="1">
      <c r="A107" s="13"/>
      <c r="B107" s="13"/>
      <c r="C107" s="13"/>
      <c r="D107" s="13"/>
      <c r="E107" s="15"/>
      <c r="F107" s="14"/>
      <c r="G107" s="13"/>
      <c r="H107" s="13"/>
      <c r="I107" s="14"/>
      <c r="J107" s="15"/>
    </row>
    <row r="108" spans="1:10" ht="19.5" customHeight="1">
      <c r="A108" s="16"/>
      <c r="B108" s="16"/>
      <c r="C108" s="16"/>
      <c r="D108" s="16"/>
      <c r="E108" s="18"/>
      <c r="F108" s="17"/>
      <c r="G108" s="17"/>
      <c r="H108" s="16"/>
      <c r="I108" s="17"/>
      <c r="J108" s="18"/>
    </row>
    <row r="109" spans="1:10" ht="19.5" customHeight="1">
      <c r="A109" s="13"/>
      <c r="B109" s="13"/>
      <c r="C109" s="13"/>
      <c r="D109" s="13"/>
      <c r="E109" s="15"/>
      <c r="F109" s="14"/>
      <c r="G109" s="13"/>
      <c r="H109" s="13"/>
      <c r="I109" s="14"/>
      <c r="J109" s="15"/>
    </row>
    <row r="110" spans="1:10" ht="19.5" customHeight="1">
      <c r="A110" s="16"/>
      <c r="B110" s="16"/>
      <c r="C110" s="16"/>
      <c r="D110" s="16"/>
      <c r="E110" s="18"/>
      <c r="F110" s="17"/>
      <c r="G110" s="17"/>
      <c r="H110" s="16"/>
      <c r="I110" s="17"/>
      <c r="J110" s="18"/>
    </row>
    <row r="111" spans="1:10" ht="19.5" customHeight="1">
      <c r="A111" s="13"/>
      <c r="B111" s="13"/>
      <c r="C111" s="13"/>
      <c r="D111" s="13"/>
      <c r="E111" s="15"/>
      <c r="F111" s="14"/>
      <c r="G111" s="13"/>
      <c r="H111" s="13"/>
      <c r="I111" s="14"/>
      <c r="J111" s="15"/>
    </row>
    <row r="112" spans="1:10" ht="19.5" customHeight="1">
      <c r="A112" s="16"/>
      <c r="B112" s="16"/>
      <c r="C112" s="16"/>
      <c r="D112" s="16"/>
      <c r="E112" s="18"/>
      <c r="F112" s="17"/>
      <c r="G112" s="17"/>
      <c r="H112" s="16"/>
      <c r="I112" s="17"/>
      <c r="J112" s="18"/>
    </row>
    <row r="113" spans="1:10" ht="19.5" customHeight="1">
      <c r="A113" s="13"/>
      <c r="B113" s="13"/>
      <c r="C113" s="13"/>
      <c r="D113" s="13"/>
      <c r="E113" s="15"/>
      <c r="F113" s="14"/>
      <c r="G113" s="13"/>
      <c r="H113" s="13"/>
      <c r="I113" s="14"/>
      <c r="J113" s="15"/>
    </row>
    <row r="114" spans="1:10" ht="19.5" customHeight="1">
      <c r="A114" s="16"/>
      <c r="B114" s="16"/>
      <c r="C114" s="16"/>
      <c r="D114" s="16"/>
      <c r="E114" s="18"/>
      <c r="F114" s="17"/>
      <c r="G114" s="17"/>
      <c r="H114" s="16"/>
      <c r="I114" s="17"/>
      <c r="J114" s="18"/>
    </row>
    <row r="115" spans="1:10" ht="19.5" customHeight="1">
      <c r="A115" s="13"/>
      <c r="B115" s="13"/>
      <c r="C115" s="13"/>
      <c r="D115" s="13"/>
      <c r="E115" s="15"/>
      <c r="F115" s="14"/>
      <c r="G115" s="13"/>
      <c r="H115" s="13"/>
      <c r="I115" s="14"/>
      <c r="J115" s="15"/>
    </row>
    <row r="116" spans="1:10" ht="19.5" customHeight="1">
      <c r="A116" s="16"/>
      <c r="B116" s="16"/>
      <c r="C116" s="16"/>
      <c r="D116" s="16"/>
      <c r="E116" s="18"/>
      <c r="F116" s="17"/>
      <c r="G116" s="17"/>
      <c r="H116" s="16"/>
      <c r="I116" s="17"/>
      <c r="J116" s="18"/>
    </row>
    <row r="117" spans="1:10" ht="19.5" customHeight="1">
      <c r="A117" s="13"/>
      <c r="B117" s="13"/>
      <c r="C117" s="13"/>
      <c r="D117" s="13"/>
      <c r="E117" s="15"/>
      <c r="F117" s="14"/>
      <c r="G117" s="13"/>
      <c r="H117" s="13"/>
      <c r="I117" s="14"/>
      <c r="J117" s="15"/>
    </row>
    <row r="118" spans="1:10" ht="19.5" customHeight="1">
      <c r="A118" s="16"/>
      <c r="B118" s="16"/>
      <c r="C118" s="16"/>
      <c r="D118" s="16"/>
      <c r="E118" s="18"/>
      <c r="F118" s="17"/>
      <c r="G118" s="17"/>
      <c r="H118" s="16"/>
      <c r="I118" s="17"/>
      <c r="J118" s="18"/>
    </row>
    <row r="119" spans="1:10" ht="19.5" customHeight="1">
      <c r="A119" s="13"/>
      <c r="B119" s="13"/>
      <c r="C119" s="13"/>
      <c r="D119" s="13"/>
      <c r="E119" s="15"/>
      <c r="F119" s="14"/>
      <c r="G119" s="13"/>
      <c r="H119" s="13"/>
      <c r="I119" s="14"/>
      <c r="J119" s="15"/>
    </row>
    <row r="120" spans="1:10" ht="19.5" customHeight="1">
      <c r="A120" s="16"/>
      <c r="B120" s="16"/>
      <c r="C120" s="16"/>
      <c r="D120" s="16"/>
      <c r="E120" s="18"/>
      <c r="F120" s="17"/>
      <c r="G120" s="17"/>
      <c r="H120" s="16"/>
      <c r="I120" s="17"/>
      <c r="J120" s="18"/>
    </row>
    <row r="121" spans="1:10" ht="19.5" customHeight="1">
      <c r="A121" s="13"/>
      <c r="B121" s="13"/>
      <c r="C121" s="13"/>
      <c r="D121" s="13"/>
      <c r="E121" s="15"/>
      <c r="F121" s="14"/>
      <c r="G121" s="13"/>
      <c r="H121" s="13"/>
      <c r="I121" s="14"/>
      <c r="J121" s="15"/>
    </row>
    <row r="122" spans="1:10" ht="19.5" customHeight="1">
      <c r="A122" s="16"/>
      <c r="B122" s="16"/>
      <c r="C122" s="16"/>
      <c r="D122" s="16"/>
      <c r="E122" s="18"/>
      <c r="F122" s="17"/>
      <c r="G122" s="17"/>
      <c r="H122" s="16"/>
      <c r="I122" s="17"/>
      <c r="J122" s="18"/>
    </row>
    <row r="123" spans="1:10" ht="19.5" customHeight="1">
      <c r="A123" s="13"/>
      <c r="B123" s="13"/>
      <c r="C123" s="13"/>
      <c r="D123" s="13"/>
      <c r="E123" s="15"/>
      <c r="F123" s="14"/>
      <c r="G123" s="13"/>
      <c r="H123" s="13"/>
      <c r="I123" s="14"/>
      <c r="J123" s="15"/>
    </row>
    <row r="124" spans="1:10" ht="19.5" customHeight="1">
      <c r="A124" s="16"/>
      <c r="B124" s="16"/>
      <c r="C124" s="16"/>
      <c r="D124" s="16"/>
      <c r="E124" s="18"/>
      <c r="F124" s="17"/>
      <c r="G124" s="17"/>
      <c r="H124" s="16"/>
      <c r="I124" s="17"/>
      <c r="J124" s="18"/>
    </row>
    <row r="125" spans="1:10" ht="19.5" customHeight="1">
      <c r="A125" s="13"/>
      <c r="B125" s="13"/>
      <c r="C125" s="13"/>
      <c r="D125" s="13"/>
      <c r="E125" s="15"/>
      <c r="F125" s="14"/>
      <c r="G125" s="13"/>
      <c r="H125" s="13"/>
      <c r="I125" s="14"/>
      <c r="J125" s="15"/>
    </row>
    <row r="126" spans="1:10" ht="19.5" customHeight="1">
      <c r="A126" s="16"/>
      <c r="B126" s="16"/>
      <c r="C126" s="16"/>
      <c r="D126" s="16"/>
      <c r="E126" s="18"/>
      <c r="F126" s="17"/>
      <c r="G126" s="17"/>
      <c r="H126" s="16"/>
      <c r="I126" s="17"/>
      <c r="J126" s="18"/>
    </row>
    <row r="127" spans="1:10" ht="19.5" customHeight="1">
      <c r="A127" s="13"/>
      <c r="B127" s="13"/>
      <c r="C127" s="13"/>
      <c r="D127" s="13"/>
      <c r="E127" s="15"/>
      <c r="F127" s="14"/>
      <c r="G127" s="13"/>
      <c r="H127" s="13"/>
      <c r="I127" s="14"/>
      <c r="J127" s="15"/>
    </row>
    <row r="128" spans="1:10" ht="19.5" customHeight="1">
      <c r="A128" s="16"/>
      <c r="B128" s="16"/>
      <c r="C128" s="16"/>
      <c r="D128" s="16"/>
      <c r="E128" s="18"/>
      <c r="F128" s="17"/>
      <c r="G128" s="17"/>
      <c r="H128" s="16"/>
      <c r="I128" s="17"/>
      <c r="J128" s="18"/>
    </row>
    <row r="129" spans="1:10" ht="19.5" customHeight="1">
      <c r="A129" s="13"/>
      <c r="B129" s="13"/>
      <c r="C129" s="13"/>
      <c r="D129" s="13"/>
      <c r="E129" s="15"/>
      <c r="F129" s="14"/>
      <c r="G129" s="13"/>
      <c r="H129" s="13"/>
      <c r="I129" s="14"/>
      <c r="J129" s="15"/>
    </row>
    <row r="130" spans="1:10" ht="19.5" customHeight="1">
      <c r="A130" s="16"/>
      <c r="B130" s="16"/>
      <c r="C130" s="16"/>
      <c r="D130" s="16"/>
      <c r="E130" s="18"/>
      <c r="F130" s="17"/>
      <c r="G130" s="17"/>
      <c r="H130" s="16"/>
      <c r="I130" s="17"/>
      <c r="J130" s="18"/>
    </row>
    <row r="131" spans="1:10" ht="19.5" customHeight="1">
      <c r="A131" s="13"/>
      <c r="B131" s="13"/>
      <c r="C131" s="13"/>
      <c r="D131" s="13"/>
      <c r="E131" s="15"/>
      <c r="F131" s="14"/>
      <c r="G131" s="13"/>
      <c r="H131" s="13"/>
      <c r="I131" s="14"/>
      <c r="J131" s="15"/>
    </row>
    <row r="132" spans="1:10" ht="19.5" customHeight="1">
      <c r="A132" s="16"/>
      <c r="B132" s="16"/>
      <c r="C132" s="16"/>
      <c r="D132" s="16"/>
      <c r="E132" s="18"/>
      <c r="F132" s="17"/>
      <c r="G132" s="17"/>
      <c r="H132" s="16"/>
      <c r="I132" s="17"/>
      <c r="J132" s="18"/>
    </row>
    <row r="133" spans="1:10" ht="19.5" customHeight="1">
      <c r="A133" s="13"/>
      <c r="B133" s="13"/>
      <c r="C133" s="13"/>
      <c r="D133" s="13"/>
      <c r="E133" s="15"/>
      <c r="F133" s="14"/>
      <c r="G133" s="13"/>
      <c r="H133" s="13"/>
      <c r="I133" s="14"/>
      <c r="J133" s="15"/>
    </row>
    <row r="134" spans="1:10" ht="19.5" customHeight="1">
      <c r="A134" s="16"/>
      <c r="B134" s="16"/>
      <c r="C134" s="16"/>
      <c r="D134" s="16"/>
      <c r="E134" s="18"/>
      <c r="F134" s="17"/>
      <c r="G134" s="17"/>
      <c r="H134" s="16"/>
      <c r="I134" s="17"/>
      <c r="J134" s="18"/>
    </row>
    <row r="135" spans="1:10" ht="19.5" customHeight="1">
      <c r="A135" s="13"/>
      <c r="B135" s="13"/>
      <c r="C135" s="13"/>
      <c r="D135" s="13"/>
      <c r="E135" s="15"/>
      <c r="F135" s="14"/>
      <c r="G135" s="13"/>
      <c r="H135" s="13"/>
      <c r="I135" s="14"/>
      <c r="J135" s="15"/>
    </row>
    <row r="136" spans="1:10" ht="19.5" customHeight="1">
      <c r="A136" s="16"/>
      <c r="B136" s="16"/>
      <c r="C136" s="16"/>
      <c r="D136" s="16"/>
      <c r="E136" s="18"/>
      <c r="F136" s="17"/>
      <c r="G136" s="17"/>
      <c r="H136" s="16"/>
      <c r="I136" s="17"/>
      <c r="J136" s="18"/>
    </row>
    <row r="137" spans="1:10" ht="19.5" customHeight="1">
      <c r="A137" s="13"/>
      <c r="B137" s="13"/>
      <c r="C137" s="13"/>
      <c r="D137" s="13"/>
      <c r="E137" s="15"/>
      <c r="F137" s="14"/>
      <c r="G137" s="13"/>
      <c r="H137" s="13"/>
      <c r="I137" s="14"/>
      <c r="J137" s="15"/>
    </row>
    <row r="138" spans="1:10" ht="19.5" customHeight="1">
      <c r="A138" s="16"/>
      <c r="B138" s="16"/>
      <c r="C138" s="16"/>
      <c r="D138" s="16"/>
      <c r="E138" s="18"/>
      <c r="F138" s="17"/>
      <c r="G138" s="17"/>
      <c r="H138" s="16"/>
      <c r="I138" s="17"/>
      <c r="J138" s="18"/>
    </row>
    <row r="139" spans="1:10" ht="19.5" customHeight="1">
      <c r="A139" s="13"/>
      <c r="B139" s="13"/>
      <c r="C139" s="13"/>
      <c r="D139" s="13"/>
      <c r="E139" s="15"/>
      <c r="F139" s="14"/>
      <c r="G139" s="13"/>
      <c r="H139" s="13"/>
      <c r="I139" s="14"/>
      <c r="J139" s="15"/>
    </row>
    <row r="140" spans="1:10" ht="19.5" customHeight="1">
      <c r="A140" s="16"/>
      <c r="B140" s="16"/>
      <c r="C140" s="16"/>
      <c r="D140" s="16"/>
      <c r="E140" s="18"/>
      <c r="F140" s="17"/>
      <c r="G140" s="17"/>
      <c r="H140" s="16"/>
      <c r="I140" s="17"/>
      <c r="J140" s="18"/>
    </row>
    <row r="141" spans="1:10" ht="19.5" customHeight="1">
      <c r="A141" s="13"/>
      <c r="B141" s="13"/>
      <c r="C141" s="13"/>
      <c r="D141" s="13"/>
      <c r="E141" s="15"/>
      <c r="F141" s="14"/>
      <c r="G141" s="13"/>
      <c r="H141" s="13"/>
      <c r="I141" s="14"/>
      <c r="J141" s="15"/>
    </row>
    <row r="142" spans="1:10" ht="19.5" customHeight="1">
      <c r="A142" s="16"/>
      <c r="B142" s="16"/>
      <c r="C142" s="16"/>
      <c r="D142" s="16"/>
      <c r="E142" s="18"/>
      <c r="F142" s="17"/>
      <c r="G142" s="17"/>
      <c r="H142" s="16"/>
      <c r="I142" s="17"/>
      <c r="J142" s="18"/>
    </row>
    <row r="143" spans="1:10" ht="19.5" customHeight="1">
      <c r="A143" s="13"/>
      <c r="B143" s="13"/>
      <c r="C143" s="13"/>
      <c r="D143" s="13"/>
      <c r="E143" s="15"/>
      <c r="F143" s="14"/>
      <c r="G143" s="13"/>
      <c r="H143" s="13"/>
      <c r="I143" s="14"/>
      <c r="J143" s="15"/>
    </row>
    <row r="144" spans="1:10" ht="19.5" customHeight="1">
      <c r="A144" s="16"/>
      <c r="B144" s="16"/>
      <c r="C144" s="16"/>
      <c r="D144" s="16"/>
      <c r="E144" s="18"/>
      <c r="F144" s="17"/>
      <c r="G144" s="17"/>
      <c r="H144" s="16"/>
      <c r="I144" s="17"/>
      <c r="J144" s="18"/>
    </row>
    <row r="145" spans="1:10" ht="19.5" customHeight="1">
      <c r="A145" s="13"/>
      <c r="B145" s="13"/>
      <c r="C145" s="13"/>
      <c r="D145" s="13"/>
      <c r="E145" s="15"/>
      <c r="F145" s="14"/>
      <c r="G145" s="13"/>
      <c r="H145" s="13"/>
      <c r="I145" s="14"/>
      <c r="J145" s="15"/>
    </row>
    <row r="146" spans="1:10" ht="19.5" customHeight="1">
      <c r="A146" s="16"/>
      <c r="B146" s="16"/>
      <c r="C146" s="16"/>
      <c r="D146" s="16"/>
      <c r="E146" s="18"/>
      <c r="F146" s="17"/>
      <c r="G146" s="17"/>
      <c r="H146" s="16"/>
      <c r="I146" s="17"/>
      <c r="J146" s="18"/>
    </row>
    <row r="147" spans="1:10" ht="19.5" customHeight="1">
      <c r="A147" s="13"/>
      <c r="B147" s="13"/>
      <c r="C147" s="13"/>
      <c r="D147" s="13"/>
      <c r="E147" s="15"/>
      <c r="F147" s="14"/>
      <c r="G147" s="13"/>
      <c r="H147" s="13"/>
      <c r="I147" s="14"/>
      <c r="J147" s="15"/>
    </row>
    <row r="148" spans="1:10" ht="19.5" customHeight="1">
      <c r="A148" s="16"/>
      <c r="B148" s="16"/>
      <c r="C148" s="16"/>
      <c r="D148" s="16"/>
      <c r="E148" s="18"/>
      <c r="F148" s="17"/>
      <c r="G148" s="17"/>
      <c r="H148" s="16"/>
      <c r="I148" s="17"/>
      <c r="J148" s="18"/>
    </row>
    <row r="149" spans="1:10" ht="19.5" customHeight="1">
      <c r="A149" s="13"/>
      <c r="B149" s="13"/>
      <c r="C149" s="13"/>
      <c r="D149" s="13"/>
      <c r="E149" s="15"/>
      <c r="F149" s="14"/>
      <c r="G149" s="13"/>
      <c r="H149" s="13"/>
      <c r="I149" s="14"/>
      <c r="J149" s="15"/>
    </row>
    <row r="150" spans="1:10" ht="19.5" customHeight="1">
      <c r="A150" s="16"/>
      <c r="B150" s="16"/>
      <c r="C150" s="16"/>
      <c r="D150" s="16"/>
      <c r="E150" s="18"/>
      <c r="F150" s="17"/>
      <c r="G150" s="17"/>
      <c r="H150" s="16"/>
      <c r="I150" s="17"/>
      <c r="J150" s="18"/>
    </row>
    <row r="151" spans="1:10" ht="19.5" customHeight="1">
      <c r="A151" s="13"/>
      <c r="B151" s="13"/>
      <c r="C151" s="13"/>
      <c r="D151" s="13"/>
      <c r="E151" s="15"/>
      <c r="F151" s="14"/>
      <c r="G151" s="13"/>
      <c r="H151" s="13"/>
      <c r="I151" s="14"/>
      <c r="J151" s="15"/>
    </row>
    <row r="152" spans="1:10" ht="19.5" customHeight="1">
      <c r="A152" s="16"/>
      <c r="B152" s="16"/>
      <c r="C152" s="16"/>
      <c r="D152" s="16"/>
      <c r="E152" s="18"/>
      <c r="F152" s="17"/>
      <c r="G152" s="17"/>
      <c r="H152" s="16"/>
      <c r="I152" s="17"/>
      <c r="J152" s="18"/>
    </row>
    <row r="153" spans="1:10" ht="19.5" customHeight="1">
      <c r="A153" s="13"/>
      <c r="B153" s="13"/>
      <c r="C153" s="13"/>
      <c r="D153" s="13"/>
      <c r="E153" s="15"/>
      <c r="F153" s="14"/>
      <c r="G153" s="13"/>
      <c r="H153" s="13"/>
      <c r="I153" s="14"/>
      <c r="J153" s="15"/>
    </row>
    <row r="154" spans="1:10" ht="19.5" customHeight="1">
      <c r="A154" s="16"/>
      <c r="B154" s="16"/>
      <c r="C154" s="16"/>
      <c r="D154" s="16"/>
      <c r="E154" s="18"/>
      <c r="F154" s="17"/>
      <c r="G154" s="17"/>
      <c r="H154" s="16"/>
      <c r="I154" s="17"/>
      <c r="J154" s="18"/>
    </row>
    <row r="155" spans="1:10" ht="19.5" customHeight="1">
      <c r="A155" s="13"/>
      <c r="B155" s="13"/>
      <c r="C155" s="13"/>
      <c r="D155" s="13"/>
      <c r="E155" s="15"/>
      <c r="F155" s="14"/>
      <c r="G155" s="13"/>
      <c r="H155" s="13"/>
      <c r="I155" s="14"/>
      <c r="J155" s="15"/>
    </row>
    <row r="156" spans="1:10" ht="19.5" customHeight="1">
      <c r="A156" s="16"/>
      <c r="B156" s="16"/>
      <c r="C156" s="16"/>
      <c r="D156" s="16"/>
      <c r="E156" s="18"/>
      <c r="F156" s="17"/>
      <c r="G156" s="17"/>
      <c r="H156" s="16"/>
      <c r="I156" s="17"/>
      <c r="J156" s="18"/>
    </row>
    <row r="157" spans="1:10" ht="19.5" customHeight="1">
      <c r="A157" s="13"/>
      <c r="B157" s="13"/>
      <c r="C157" s="13"/>
      <c r="D157" s="13"/>
      <c r="E157" s="15"/>
      <c r="F157" s="14"/>
      <c r="G157" s="13"/>
      <c r="H157" s="13"/>
      <c r="I157" s="14"/>
      <c r="J157" s="15"/>
    </row>
    <row r="158" spans="1:10" ht="19.5" customHeight="1">
      <c r="A158" s="16"/>
      <c r="B158" s="16"/>
      <c r="C158" s="16"/>
      <c r="D158" s="16"/>
      <c r="E158" s="18"/>
      <c r="F158" s="17"/>
      <c r="G158" s="17"/>
      <c r="H158" s="16"/>
      <c r="I158" s="17"/>
      <c r="J158" s="18"/>
    </row>
    <row r="159" spans="1:10" ht="19.5" customHeight="1">
      <c r="A159" s="13"/>
      <c r="B159" s="13"/>
      <c r="C159" s="13"/>
      <c r="D159" s="13"/>
      <c r="E159" s="15"/>
      <c r="F159" s="14"/>
      <c r="G159" s="13"/>
      <c r="H159" s="13"/>
      <c r="I159" s="14"/>
      <c r="J159" s="15"/>
    </row>
    <row r="160" spans="1:10" ht="19.5" customHeight="1">
      <c r="A160" s="16"/>
      <c r="B160" s="16"/>
      <c r="C160" s="16"/>
      <c r="D160" s="16"/>
      <c r="E160" s="18"/>
      <c r="F160" s="17"/>
      <c r="G160" s="17"/>
      <c r="H160" s="16"/>
      <c r="I160" s="17"/>
      <c r="J160" s="18"/>
    </row>
    <row r="161" spans="1:10" ht="19.5" customHeight="1">
      <c r="A161" s="13"/>
      <c r="B161" s="13"/>
      <c r="C161" s="13"/>
      <c r="D161" s="13"/>
      <c r="E161" s="15"/>
      <c r="F161" s="14"/>
      <c r="G161" s="13"/>
      <c r="H161" s="13"/>
      <c r="I161" s="14"/>
      <c r="J161" s="15"/>
    </row>
    <row r="162" spans="1:10" ht="19.5" customHeight="1">
      <c r="A162" s="16"/>
      <c r="B162" s="16"/>
      <c r="C162" s="16"/>
      <c r="D162" s="16"/>
      <c r="E162" s="18"/>
      <c r="F162" s="17"/>
      <c r="G162" s="17"/>
      <c r="H162" s="16"/>
      <c r="I162" s="17"/>
      <c r="J162" s="18"/>
    </row>
    <row r="163" spans="1:10" ht="19.5" customHeight="1">
      <c r="A163" s="13"/>
      <c r="B163" s="13"/>
      <c r="C163" s="13"/>
      <c r="D163" s="13"/>
      <c r="E163" s="15"/>
      <c r="F163" s="14"/>
      <c r="G163" s="13"/>
      <c r="H163" s="13"/>
      <c r="I163" s="14"/>
      <c r="J163" s="15"/>
    </row>
    <row r="164" spans="1:10" ht="19.5" customHeight="1">
      <c r="A164" s="16"/>
      <c r="B164" s="16"/>
      <c r="C164" s="16"/>
      <c r="D164" s="16"/>
      <c r="E164" s="18"/>
      <c r="F164" s="17"/>
      <c r="G164" s="17"/>
      <c r="H164" s="16"/>
      <c r="I164" s="17"/>
      <c r="J164" s="18"/>
    </row>
    <row r="165" spans="1:10" ht="19.5" customHeight="1">
      <c r="A165" s="13"/>
      <c r="B165" s="13"/>
      <c r="C165" s="13"/>
      <c r="D165" s="13"/>
      <c r="E165" s="15"/>
      <c r="F165" s="14"/>
      <c r="G165" s="13"/>
      <c r="H165" s="13"/>
      <c r="I165" s="14"/>
      <c r="J165" s="15"/>
    </row>
    <row r="166" spans="1:10" ht="19.5" customHeight="1">
      <c r="A166" s="16"/>
      <c r="B166" s="16"/>
      <c r="C166" s="16"/>
      <c r="D166" s="16"/>
      <c r="E166" s="18"/>
      <c r="F166" s="17"/>
      <c r="G166" s="17"/>
      <c r="H166" s="16"/>
      <c r="I166" s="17"/>
      <c r="J166" s="18"/>
    </row>
    <row r="167" spans="1:10" ht="19.5" customHeight="1">
      <c r="A167" s="13"/>
      <c r="B167" s="13"/>
      <c r="C167" s="13"/>
      <c r="D167" s="13"/>
      <c r="E167" s="15"/>
      <c r="F167" s="14"/>
      <c r="G167" s="13"/>
      <c r="H167" s="13"/>
      <c r="I167" s="14"/>
      <c r="J167" s="15"/>
    </row>
    <row r="168" spans="1:10" ht="19.5" customHeight="1">
      <c r="A168" s="16"/>
      <c r="B168" s="16"/>
      <c r="C168" s="16"/>
      <c r="D168" s="16"/>
      <c r="E168" s="18"/>
      <c r="F168" s="17"/>
      <c r="G168" s="17"/>
      <c r="H168" s="16"/>
      <c r="I168" s="17"/>
      <c r="J168" s="18"/>
    </row>
    <row r="169" spans="1:10" ht="19.5" customHeight="1">
      <c r="A169" s="13"/>
      <c r="B169" s="13"/>
      <c r="C169" s="13"/>
      <c r="D169" s="13"/>
      <c r="E169" s="15"/>
      <c r="F169" s="14"/>
      <c r="G169" s="13"/>
      <c r="H169" s="13"/>
      <c r="I169" s="14"/>
      <c r="J169" s="15"/>
    </row>
    <row r="170" spans="1:10" ht="19.5" customHeight="1">
      <c r="A170" s="16"/>
      <c r="B170" s="16"/>
      <c r="C170" s="16"/>
      <c r="D170" s="16"/>
      <c r="E170" s="18"/>
      <c r="F170" s="17"/>
      <c r="G170" s="17"/>
      <c r="H170" s="16"/>
      <c r="I170" s="17"/>
      <c r="J170" s="18"/>
    </row>
    <row r="171" spans="1:10" ht="19.5" customHeight="1">
      <c r="A171" s="13"/>
      <c r="B171" s="13"/>
      <c r="C171" s="13"/>
      <c r="D171" s="13"/>
      <c r="E171" s="15"/>
      <c r="F171" s="14"/>
      <c r="G171" s="13"/>
      <c r="H171" s="13"/>
      <c r="I171" s="14"/>
      <c r="J171" s="15"/>
    </row>
    <row r="172" spans="1:10" ht="19.5" customHeight="1">
      <c r="A172" s="16"/>
      <c r="B172" s="16"/>
      <c r="C172" s="16"/>
      <c r="D172" s="16"/>
      <c r="E172" s="18"/>
      <c r="F172" s="17"/>
      <c r="G172" s="17"/>
      <c r="H172" s="16"/>
      <c r="I172" s="17"/>
      <c r="J172" s="18"/>
    </row>
    <row r="173" spans="1:10" ht="19.5" customHeight="1">
      <c r="A173" s="13"/>
      <c r="B173" s="13"/>
      <c r="C173" s="13"/>
      <c r="D173" s="13"/>
      <c r="E173" s="15"/>
      <c r="F173" s="14"/>
      <c r="G173" s="13"/>
      <c r="H173" s="13"/>
      <c r="I173" s="14"/>
      <c r="J173" s="15"/>
    </row>
    <row r="174" spans="1:10" ht="19.5" customHeight="1">
      <c r="A174" s="16"/>
      <c r="B174" s="16"/>
      <c r="C174" s="16"/>
      <c r="D174" s="16"/>
      <c r="E174" s="18"/>
      <c r="F174" s="17"/>
      <c r="G174" s="17"/>
      <c r="H174" s="16"/>
      <c r="I174" s="17"/>
      <c r="J174" s="18"/>
    </row>
    <row r="175" spans="1:10" ht="19.5" customHeight="1">
      <c r="A175" s="13"/>
      <c r="B175" s="13"/>
      <c r="C175" s="13"/>
      <c r="D175" s="13"/>
      <c r="E175" s="15"/>
      <c r="F175" s="14"/>
      <c r="G175" s="13"/>
      <c r="H175" s="13"/>
      <c r="I175" s="14"/>
      <c r="J175" s="15"/>
    </row>
    <row r="176" spans="1:10" ht="19.5" customHeight="1">
      <c r="A176" s="16"/>
      <c r="B176" s="16"/>
      <c r="C176" s="16"/>
      <c r="D176" s="16"/>
      <c r="E176" s="18"/>
      <c r="F176" s="17"/>
      <c r="G176" s="17"/>
      <c r="H176" s="16"/>
      <c r="I176" s="17"/>
      <c r="J176" s="18"/>
    </row>
    <row r="177" spans="1:10" ht="19.5" customHeight="1">
      <c r="A177" s="13"/>
      <c r="B177" s="13"/>
      <c r="C177" s="13"/>
      <c r="D177" s="13"/>
      <c r="E177" s="15"/>
      <c r="F177" s="14"/>
      <c r="G177" s="13"/>
      <c r="H177" s="13"/>
      <c r="I177" s="14"/>
      <c r="J177" s="15"/>
    </row>
    <row r="178" spans="1:10" ht="19.5" customHeight="1">
      <c r="A178" s="16"/>
      <c r="B178" s="16"/>
      <c r="C178" s="16"/>
      <c r="D178" s="16"/>
      <c r="E178" s="18"/>
      <c r="F178" s="17"/>
      <c r="G178" s="17"/>
      <c r="H178" s="16"/>
      <c r="I178" s="17"/>
      <c r="J178" s="18"/>
    </row>
    <row r="179" spans="1:10" ht="19.5" customHeight="1">
      <c r="A179" s="13"/>
      <c r="B179" s="13"/>
      <c r="C179" s="13"/>
      <c r="D179" s="13"/>
      <c r="E179" s="15"/>
      <c r="F179" s="14"/>
      <c r="G179" s="13"/>
      <c r="H179" s="13"/>
      <c r="I179" s="14"/>
      <c r="J179" s="15"/>
    </row>
    <row r="180" spans="1:10" ht="19.5" customHeight="1">
      <c r="A180" s="16"/>
      <c r="B180" s="16"/>
      <c r="C180" s="16"/>
      <c r="D180" s="16"/>
      <c r="E180" s="18"/>
      <c r="F180" s="17"/>
      <c r="G180" s="17"/>
      <c r="H180" s="16"/>
      <c r="I180" s="17"/>
      <c r="J180" s="18"/>
    </row>
    <row r="181" spans="1:10" ht="19.5" customHeight="1">
      <c r="A181" s="13"/>
      <c r="B181" s="13"/>
      <c r="C181" s="13"/>
      <c r="D181" s="13"/>
      <c r="E181" s="15"/>
      <c r="F181" s="14"/>
      <c r="G181" s="13"/>
      <c r="H181" s="13"/>
      <c r="I181" s="14"/>
      <c r="J181" s="15"/>
    </row>
    <row r="182" spans="1:10" ht="19.5" customHeight="1">
      <c r="A182" s="16"/>
      <c r="B182" s="16"/>
      <c r="C182" s="16"/>
      <c r="D182" s="16"/>
      <c r="E182" s="18"/>
      <c r="F182" s="17"/>
      <c r="G182" s="17"/>
      <c r="H182" s="16"/>
      <c r="I182" s="17"/>
      <c r="J182" s="18"/>
    </row>
    <row r="183" spans="1:10" ht="19.5" customHeight="1">
      <c r="A183" s="13"/>
      <c r="B183" s="13"/>
      <c r="C183" s="13"/>
      <c r="D183" s="13"/>
      <c r="E183" s="15"/>
      <c r="F183" s="14"/>
      <c r="G183" s="13"/>
      <c r="H183" s="13"/>
      <c r="I183" s="14"/>
      <c r="J183" s="15"/>
    </row>
    <row r="184" spans="1:10" ht="19.5" customHeight="1">
      <c r="A184" s="16"/>
      <c r="B184" s="16"/>
      <c r="C184" s="16"/>
      <c r="D184" s="16"/>
      <c r="E184" s="18"/>
      <c r="F184" s="17"/>
      <c r="G184" s="17"/>
      <c r="H184" s="16"/>
      <c r="I184" s="17"/>
      <c r="J184" s="18"/>
    </row>
    <row r="185" spans="1:10" ht="19.5" customHeight="1">
      <c r="A185" s="13"/>
      <c r="B185" s="13"/>
      <c r="C185" s="13"/>
      <c r="D185" s="13"/>
      <c r="E185" s="15"/>
      <c r="F185" s="14"/>
      <c r="G185" s="13"/>
      <c r="H185" s="13"/>
      <c r="I185" s="14"/>
      <c r="J185" s="15"/>
    </row>
    <row r="186" spans="1:10" ht="19.5" customHeight="1">
      <c r="A186" s="16"/>
      <c r="B186" s="16"/>
      <c r="C186" s="16"/>
      <c r="D186" s="16"/>
      <c r="E186" s="18"/>
      <c r="F186" s="17"/>
      <c r="G186" s="17"/>
      <c r="H186" s="16"/>
      <c r="I186" s="17"/>
      <c r="J186" s="18"/>
    </row>
    <row r="187" spans="1:10" ht="19.5" customHeight="1">
      <c r="A187" s="13"/>
      <c r="B187" s="13"/>
      <c r="C187" s="13"/>
      <c r="D187" s="13"/>
      <c r="E187" s="15"/>
      <c r="F187" s="14"/>
      <c r="G187" s="13"/>
      <c r="H187" s="13"/>
      <c r="I187" s="14"/>
      <c r="J187" s="15"/>
    </row>
    <row r="188" spans="1:10" ht="19.5" customHeight="1">
      <c r="A188" s="16"/>
      <c r="B188" s="16"/>
      <c r="C188" s="16"/>
      <c r="D188" s="16"/>
      <c r="E188" s="18"/>
      <c r="F188" s="17"/>
      <c r="G188" s="17"/>
      <c r="H188" s="16"/>
      <c r="I188" s="17"/>
      <c r="J188" s="18"/>
    </row>
    <row r="189" spans="1:10" ht="19.5" customHeight="1">
      <c r="A189" s="13"/>
      <c r="B189" s="13"/>
      <c r="C189" s="13"/>
      <c r="D189" s="13"/>
      <c r="E189" s="15"/>
      <c r="F189" s="14"/>
      <c r="G189" s="13"/>
      <c r="H189" s="13"/>
      <c r="I189" s="14"/>
      <c r="J189" s="15"/>
    </row>
    <row r="190" spans="1:10" ht="19.5" customHeight="1">
      <c r="A190" s="16"/>
      <c r="B190" s="16"/>
      <c r="C190" s="16"/>
      <c r="D190" s="16"/>
      <c r="E190" s="18"/>
      <c r="F190" s="17"/>
      <c r="G190" s="17"/>
      <c r="H190" s="16"/>
      <c r="I190" s="17"/>
      <c r="J190" s="18"/>
    </row>
    <row r="191" spans="1:10" ht="19.5" customHeight="1">
      <c r="A191" s="13"/>
      <c r="B191" s="13"/>
      <c r="C191" s="13"/>
      <c r="D191" s="13"/>
      <c r="E191" s="15"/>
      <c r="F191" s="14"/>
      <c r="G191" s="13"/>
      <c r="H191" s="13"/>
      <c r="I191" s="14"/>
      <c r="J191" s="15"/>
    </row>
    <row r="192" spans="1:10" ht="19.5" customHeight="1">
      <c r="A192" s="16"/>
      <c r="B192" s="16"/>
      <c r="C192" s="16"/>
      <c r="D192" s="16"/>
      <c r="E192" s="18"/>
      <c r="F192" s="17"/>
      <c r="G192" s="17"/>
      <c r="H192" s="16"/>
      <c r="I192" s="17"/>
      <c r="J192" s="18"/>
    </row>
    <row r="193" spans="1:10" ht="19.5" customHeight="1">
      <c r="A193" s="13"/>
      <c r="B193" s="13"/>
      <c r="C193" s="13"/>
      <c r="D193" s="13"/>
      <c r="E193" s="15"/>
      <c r="F193" s="14"/>
      <c r="G193" s="13"/>
      <c r="H193" s="13"/>
      <c r="I193" s="14"/>
      <c r="J193" s="15"/>
    </row>
    <row r="194" spans="1:10" ht="19.5" customHeight="1">
      <c r="A194" s="16"/>
      <c r="B194" s="16"/>
      <c r="C194" s="16"/>
      <c r="D194" s="16"/>
      <c r="E194" s="18"/>
      <c r="F194" s="17"/>
      <c r="G194" s="17"/>
      <c r="H194" s="16"/>
      <c r="I194" s="17"/>
      <c r="J194" s="18"/>
    </row>
    <row r="195" spans="1:10" ht="19.5" customHeight="1">
      <c r="A195" s="13"/>
      <c r="B195" s="13"/>
      <c r="C195" s="13"/>
      <c r="D195" s="13"/>
      <c r="E195" s="15"/>
      <c r="F195" s="14"/>
      <c r="G195" s="13"/>
      <c r="H195" s="13"/>
      <c r="I195" s="14"/>
      <c r="J195" s="15"/>
    </row>
    <row r="196" spans="1:10" ht="19.5" customHeight="1">
      <c r="A196" s="16"/>
      <c r="B196" s="16"/>
      <c r="C196" s="16"/>
      <c r="D196" s="16"/>
      <c r="E196" s="18"/>
      <c r="F196" s="17"/>
      <c r="G196" s="17"/>
      <c r="H196" s="16"/>
      <c r="I196" s="17"/>
      <c r="J196" s="18"/>
    </row>
    <row r="197" spans="1:10" ht="19.5" customHeight="1">
      <c r="A197" s="13"/>
      <c r="B197" s="13"/>
      <c r="C197" s="13"/>
      <c r="D197" s="13"/>
      <c r="E197" s="15"/>
      <c r="F197" s="14"/>
      <c r="G197" s="13"/>
      <c r="H197" s="13"/>
      <c r="I197" s="14"/>
      <c r="J197" s="15"/>
    </row>
    <row r="198" spans="1:10" ht="19.5" customHeight="1">
      <c r="A198" s="16"/>
      <c r="B198" s="16"/>
      <c r="C198" s="16"/>
      <c r="D198" s="16"/>
      <c r="E198" s="18"/>
      <c r="F198" s="17"/>
      <c r="G198" s="17"/>
      <c r="H198" s="16"/>
      <c r="I198" s="17"/>
      <c r="J198" s="18"/>
    </row>
    <row r="199" spans="1:10" ht="19.5" customHeight="1">
      <c r="A199" s="13"/>
      <c r="B199" s="13"/>
      <c r="C199" s="13"/>
      <c r="D199" s="13"/>
      <c r="E199" s="15"/>
      <c r="F199" s="14"/>
      <c r="G199" s="13"/>
      <c r="H199" s="13"/>
      <c r="I199" s="14"/>
      <c r="J199" s="15"/>
    </row>
    <row r="200" spans="1:10" ht="19.5" customHeight="1">
      <c r="A200" s="16"/>
      <c r="B200" s="16"/>
      <c r="C200" s="16"/>
      <c r="D200" s="16"/>
      <c r="E200" s="18"/>
      <c r="F200" s="17"/>
      <c r="G200" s="17"/>
      <c r="H200" s="16"/>
      <c r="I200" s="17"/>
      <c r="J200" s="18"/>
    </row>
  </sheetData>
  <mergeCells count="1">
    <mergeCell ref="A1:J1"/>
  </mergeCells>
  <conditionalFormatting sqref="G5:G29 G31:G200">
    <cfRule type="containsText" dxfId="7" priority="4" operator="containsText" text="New">
      <formula>NOT(ISERROR(SEARCH("New",G5)))</formula>
    </cfRule>
    <cfRule type="containsText" dxfId="6" priority="5" operator="containsText" text="In process">
      <formula>NOT(ISERROR(SEARCH("In process",G5)))</formula>
    </cfRule>
    <cfRule type="containsText" dxfId="5" priority="6" operator="containsText" text="QC">
      <formula>NOT(ISERROR(SEARCH("QC",G5)))</formula>
    </cfRule>
    <cfRule type="containsText" dxfId="4" priority="7" operator="containsText" text="Approved">
      <formula>NOT(ISERROR(SEARCH("Approved",G5)))</formula>
    </cfRule>
    <cfRule type="containsText" dxfId="3" priority="8" operator="containsText" text="Denied">
      <formula>NOT(ISERROR(SEARCH("Denied",G5)))</formula>
    </cfRule>
  </conditionalFormatting>
  <conditionalFormatting sqref="H5:H200">
    <cfRule type="containsText" dxfId="2" priority="9" operator="containsText" text="High">
      <formula>NOT(ISERROR(SEARCH("High",H5)))</formula>
    </cfRule>
    <cfRule type="containsText" dxfId="1" priority="10" operator="containsText" text="Medium">
      <formula>NOT(ISERROR(SEARCH("Medium",H5)))</formula>
    </cfRule>
    <cfRule type="containsText" dxfId="0" priority="11" operator="containsText" text="Low">
      <formula>NOT(ISERROR(SEARCH("Low",H5)))</formula>
    </cfRule>
  </conditionalFormatting>
  <dataValidations count="4">
    <dataValidation type="list" allowBlank="1" showInputMessage="1" showErrorMessage="1" sqref="H100 I5:I24 I25:I100 G5:G24 G25:G100" xr:uid="{8D78D144-59B8-43F2-899D-9F0D78D177CE}">
      <formula1>"New, In process, QC, Approved, Denied"</formula1>
    </dataValidation>
    <dataValidation type="list" allowBlank="1" sqref="E26 E28 E30 E32 E34 E36 E38 E40 E42 E44 E46 E48 E50 E52 E54 E56 E58 E60 E62 E64 E66 E68 E70 E72 E74 E76 E78 E80 E82 E84 E86 E88 E90 E92 E94 E96 E98 E100 E102 E104 E106 E108 E110 E112 E114 E116 E118 E120 E122 E124 E126 E128 E130 E132 E134 E136 E138 E140 E142 E144 E146 E148 E150 E152 E154 E156 E158 E160 E162 E164 E166 E168 E170 E172 E174 E176 E178 E180 E182 E184 E186 E188 E190 E192 E194 E196 E198 E200" xr:uid="{F9F7CF91-A78F-2642-9248-16C8C89ED5CD}">
      <formula1>"Jill,Valentijn,Roemer,Nikki"</formula1>
    </dataValidation>
    <dataValidation type="list" allowBlank="1" sqref="E27 E29 E31 E33 E35 E37 E39 E41 E43 E45 E47 E49 E51 E53 E55 E57 E59 E61 E63 E65 E67 E69 E71 E73 E75 E77 E79 E81 E83 E85 E87 E89 E91 E93 E95 E97 E99 E101 E103 E105 E107 E109 E111 E113 E115 E117 E119 E121 E123 E125 E127 E129 E131 E133 E135 E137 E139 E141 E143 E145 E147 E149 E151 E153 E155 E157 E159 E161 E163 E165 E167 E169 E171 E173 E175 E177 E179 E181 E183 E185 E187 E189 E191 E193 E195 E197 E199 E5:E24 E25" xr:uid="{9F081B8B-BD0E-8E46-A616-6B744A5F574C}">
      <formula1>"Jill,Valentijn,Roemer,Nikki, To be assigned"</formula1>
    </dataValidation>
    <dataValidation type="list" allowBlank="1" showInputMessage="1" showErrorMessage="1" sqref="H5:H24 H25:H99" xr:uid="{92DD83A2-6240-4588-A679-02F247326E34}">
      <formula1>"High, Medium, Low"</formula1>
    </dataValidation>
  </dataValidations>
  <hyperlinks>
    <hyperlink ref="A3" r:id="rId1" xr:uid="{B71FED60-26F3-4702-8F9B-51288FC8B0AE}"/>
    <hyperlink ref="B3" r:id="rId2" xr:uid="{90CF6FF9-23CC-46A8-BE43-6805ED36836A}"/>
    <hyperlink ref="D3" r:id="rId3" xr:uid="{47859259-4F36-4A6A-A2B0-ADB0F5A5E1AB}"/>
    <hyperlink ref="F3" r:id="rId4" xr:uid="{F247BDD8-79AA-4374-8C25-500D4A35F1ED}"/>
  </hyperlinks>
  <pageMargins left="0.75" right="0.75" top="1" bottom="1" header="0.511811023622047" footer="0.511811023622047"/>
  <pageSetup paperSize="9" orientation="portrait" horizontalDpi="300" verticalDpi="300"/>
  <extLst>
    <ext xmlns:x14="http://schemas.microsoft.com/office/spreadsheetml/2009/9/main" uri="{CCE6A557-97BC-4b89-ADB6-D9C93CAAB3DF}">
      <x14:dataValidations xmlns:xm="http://schemas.microsoft.com/office/excel/2006/main" count="1">
        <x14:dataValidation type="list" allowBlank="1" showInputMessage="1" showErrorMessage="1" xr:uid="{CD82A621-DF0E-4911-88BE-DC1FB90BAC5D}">
          <x14:formula1>
            <xm:f>Legenda!$A$12:$A$18</xm:f>
          </x14:formula1>
          <xm:sqref>D5:D24 D25:D200</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2"/>
  <dimension ref="A1:B24"/>
  <sheetViews>
    <sheetView zoomScaleNormal="100" workbookViewId="0">
      <selection activeCell="A23" sqref="A23:B23"/>
    </sheetView>
  </sheetViews>
  <sheetFormatPr defaultColWidth="8.7109375" defaultRowHeight="14.45"/>
  <cols>
    <col min="1" max="1" width="21.28515625" customWidth="1"/>
    <col min="2" max="2" width="69.42578125" customWidth="1"/>
  </cols>
  <sheetData>
    <row r="1" spans="1:2" ht="21.95" customHeight="1">
      <c r="A1" s="249" t="s">
        <v>650</v>
      </c>
      <c r="B1" s="249"/>
    </row>
    <row r="2" spans="1:2">
      <c r="A2" s="1"/>
      <c r="B2" s="1"/>
    </row>
    <row r="3" spans="1:2" ht="15.95" customHeight="1">
      <c r="A3" s="269" t="s">
        <v>651</v>
      </c>
      <c r="B3" s="269"/>
    </row>
    <row r="4" spans="1:2">
      <c r="A4" s="19" t="s">
        <v>133</v>
      </c>
      <c r="B4" s="20" t="s">
        <v>652</v>
      </c>
    </row>
    <row r="5" spans="1:2">
      <c r="A5" s="21" t="s">
        <v>331</v>
      </c>
      <c r="B5" s="23" t="s">
        <v>653</v>
      </c>
    </row>
    <row r="6" spans="1:2">
      <c r="A6" s="25" t="s">
        <v>228</v>
      </c>
      <c r="B6" s="26" t="s">
        <v>654</v>
      </c>
    </row>
    <row r="7" spans="1:2">
      <c r="A7" s="21" t="s">
        <v>31</v>
      </c>
      <c r="B7" s="23" t="s">
        <v>655</v>
      </c>
    </row>
    <row r="8" spans="1:2">
      <c r="A8" s="22" t="s">
        <v>356</v>
      </c>
      <c r="B8" s="24" t="s">
        <v>656</v>
      </c>
    </row>
    <row r="9" spans="1:2">
      <c r="A9" s="1"/>
      <c r="B9" s="1"/>
    </row>
    <row r="11" spans="1:2">
      <c r="A11" s="269" t="s">
        <v>657</v>
      </c>
      <c r="B11" s="269"/>
    </row>
    <row r="12" spans="1:2">
      <c r="A12" s="19" t="s">
        <v>12</v>
      </c>
      <c r="B12" s="20" t="s">
        <v>658</v>
      </c>
    </row>
    <row r="13" spans="1:2">
      <c r="A13" s="21" t="s">
        <v>13</v>
      </c>
      <c r="B13" s="23" t="s">
        <v>659</v>
      </c>
    </row>
    <row r="14" spans="1:2">
      <c r="A14" s="25" t="s">
        <v>14</v>
      </c>
      <c r="B14" s="26" t="s">
        <v>660</v>
      </c>
    </row>
    <row r="15" spans="1:2">
      <c r="A15" s="21" t="s">
        <v>15</v>
      </c>
      <c r="B15" s="23" t="s">
        <v>661</v>
      </c>
    </row>
    <row r="16" spans="1:2">
      <c r="A16" s="25" t="s">
        <v>16</v>
      </c>
      <c r="B16" s="26" t="s">
        <v>662</v>
      </c>
    </row>
    <row r="17" spans="1:2">
      <c r="A17" s="21" t="s">
        <v>17</v>
      </c>
      <c r="B17" s="23" t="s">
        <v>663</v>
      </c>
    </row>
    <row r="18" spans="1:2">
      <c r="A18" s="25" t="s">
        <v>18</v>
      </c>
      <c r="B18" s="26" t="s">
        <v>664</v>
      </c>
    </row>
    <row r="19" spans="1:2">
      <c r="A19" s="25"/>
      <c r="B19" s="26"/>
    </row>
    <row r="20" spans="1:2">
      <c r="A20" s="25"/>
      <c r="B20" s="26"/>
    </row>
    <row r="21" spans="1:2" ht="18" customHeight="1">
      <c r="A21" s="269" t="s">
        <v>665</v>
      </c>
      <c r="B21" s="269"/>
    </row>
    <row r="22" spans="1:2" ht="20.25" customHeight="1">
      <c r="A22" s="250" t="s">
        <v>666</v>
      </c>
      <c r="B22" s="250"/>
    </row>
    <row r="23" spans="1:2" ht="78" customHeight="1">
      <c r="A23" s="251" t="s">
        <v>667</v>
      </c>
      <c r="B23" s="252"/>
    </row>
    <row r="24" spans="1:2" ht="30" customHeight="1">
      <c r="A24" s="253"/>
      <c r="B24" s="253"/>
    </row>
  </sheetData>
  <mergeCells count="7">
    <mergeCell ref="A1:B1"/>
    <mergeCell ref="A22:B22"/>
    <mergeCell ref="A23:B23"/>
    <mergeCell ref="A24:B24"/>
    <mergeCell ref="A21:B21"/>
    <mergeCell ref="A3:B3"/>
    <mergeCell ref="A11:B11"/>
  </mergeCells>
  <pageMargins left="0.75" right="0.75" top="1" bottom="1" header="0.511811023622047" footer="0.511811023622047"/>
  <pageSetup paperSize="9" orientation="portrait" horizontalDpi="300" verticalDpi="30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DB78F8E-E059-4A92-9856-E99AF5711386}">
  <dimension ref="A1:Z72"/>
  <sheetViews>
    <sheetView showGridLines="0" workbookViewId="0">
      <selection activeCell="K23" sqref="K23"/>
    </sheetView>
  </sheetViews>
  <sheetFormatPr defaultRowHeight="14.45"/>
  <cols>
    <col min="1" max="1" width="3.42578125" customWidth="1"/>
    <col min="2" max="2" width="19" customWidth="1"/>
    <col min="3" max="3" width="20" customWidth="1"/>
    <col min="4" max="4" width="2.28515625" customWidth="1"/>
    <col min="5" max="6" width="19" customWidth="1"/>
    <col min="7" max="7" width="2.28515625" customWidth="1"/>
    <col min="8" max="9" width="19" customWidth="1"/>
    <col min="10" max="10" width="2.28515625" customWidth="1"/>
    <col min="11" max="12" width="19" customWidth="1"/>
    <col min="13" max="13" width="3.42578125" customWidth="1"/>
    <col min="18" max="20" width="0.140625" style="152" customWidth="1"/>
  </cols>
  <sheetData>
    <row r="1" spans="1:26" ht="15" customHeight="1">
      <c r="A1" s="88"/>
      <c r="B1" s="88"/>
      <c r="C1" s="88"/>
      <c r="D1" s="88"/>
      <c r="E1" s="88"/>
      <c r="F1" s="88"/>
      <c r="G1" s="88"/>
      <c r="H1" s="88"/>
      <c r="I1" s="88"/>
      <c r="J1" s="88"/>
      <c r="K1" s="88"/>
      <c r="L1" s="88"/>
      <c r="M1" s="88"/>
      <c r="N1" s="88"/>
      <c r="O1" s="88"/>
      <c r="P1" s="88"/>
      <c r="Q1" s="88"/>
      <c r="R1" s="117" t="s">
        <v>45</v>
      </c>
      <c r="S1" s="164">
        <f>COUNTIFS(Tracker!Q5:Q356,R1,Tracker!L5:L356,"&lt;&gt;")</f>
        <v>52</v>
      </c>
      <c r="T1" s="117">
        <f>RANK(S1,$S$1:$S$17,0)+COUNTIF($S$1:$S1,S1)-1</f>
        <v>1</v>
      </c>
      <c r="U1" s="88"/>
      <c r="V1" s="88"/>
      <c r="W1" s="88"/>
      <c r="X1" s="88"/>
      <c r="Y1" s="88"/>
      <c r="Z1" s="88"/>
    </row>
    <row r="2" spans="1:26" ht="31.5" customHeight="1">
      <c r="A2" s="88"/>
      <c r="B2" s="255" t="s">
        <v>668</v>
      </c>
      <c r="C2" s="255"/>
      <c r="D2" s="255"/>
      <c r="E2" s="255"/>
      <c r="F2" s="255"/>
      <c r="G2" s="255"/>
      <c r="H2" s="255"/>
      <c r="I2" s="255"/>
      <c r="J2" s="255"/>
      <c r="K2" s="255"/>
      <c r="L2" s="255"/>
      <c r="M2" s="88"/>
      <c r="N2" s="88"/>
      <c r="O2" s="88"/>
      <c r="P2" s="88"/>
      <c r="Q2" s="88"/>
      <c r="R2" s="117" t="s">
        <v>60</v>
      </c>
      <c r="S2" s="164">
        <f>COUNTIFS(Tracker!Q5:Q356,R2,Tracker!L5:L356,"&lt;&gt;")</f>
        <v>26</v>
      </c>
      <c r="T2" s="117">
        <f>RANK(S2,$S$1:$S$17,0)+COUNTIF($S$1:$S2,S2)-1</f>
        <v>3</v>
      </c>
      <c r="U2" s="88"/>
      <c r="V2" s="88"/>
      <c r="W2" s="88"/>
      <c r="X2" s="88"/>
      <c r="Y2" s="88"/>
      <c r="Z2" s="88"/>
    </row>
    <row r="3" spans="1:26" ht="21.75" customHeight="1">
      <c r="A3" s="88"/>
      <c r="B3" s="256" t="s">
        <v>669</v>
      </c>
      <c r="C3" s="256"/>
      <c r="D3" s="256"/>
      <c r="E3" s="256"/>
      <c r="F3" s="256"/>
      <c r="G3" s="256"/>
      <c r="H3" s="256"/>
      <c r="I3" s="256"/>
      <c r="J3" s="256"/>
      <c r="K3" s="256"/>
      <c r="L3" s="256"/>
      <c r="M3" s="88"/>
      <c r="N3" s="88"/>
      <c r="O3" s="88"/>
      <c r="P3" s="88"/>
      <c r="Q3" s="88"/>
      <c r="R3" s="117" t="s">
        <v>169</v>
      </c>
      <c r="S3" s="164">
        <f>COUNTIFS(Tracker!Q5:Q356,R3,Tracker!L5:L356,"&lt;&gt;")</f>
        <v>4</v>
      </c>
      <c r="T3" s="117">
        <f>RANK(S3,$S$1:$S$17,0)+COUNTIF($S$1:$S3,S3)-1</f>
        <v>9</v>
      </c>
      <c r="U3" s="88"/>
      <c r="V3" s="88"/>
      <c r="W3" s="88"/>
      <c r="X3" s="88"/>
      <c r="Y3" s="88"/>
      <c r="Z3" s="88"/>
    </row>
    <row r="4" spans="1:26" ht="3" customHeight="1">
      <c r="A4" s="88"/>
      <c r="B4" s="89"/>
      <c r="C4" s="89"/>
      <c r="D4" s="88"/>
      <c r="E4" s="89"/>
      <c r="F4" s="89"/>
      <c r="G4" s="88"/>
      <c r="H4" s="89"/>
      <c r="I4" s="89"/>
      <c r="J4" s="88"/>
      <c r="K4" s="89"/>
      <c r="L4" s="89"/>
      <c r="M4" s="88"/>
      <c r="N4" s="88"/>
      <c r="O4" s="88"/>
      <c r="P4" s="88"/>
      <c r="Q4" s="88"/>
      <c r="R4" s="117" t="s">
        <v>33</v>
      </c>
      <c r="S4" s="164">
        <f>COUNTIFS(Tracker!Q5:Q356,R4,Tracker!L5:L356,"&lt;&gt;")</f>
        <v>30</v>
      </c>
      <c r="T4" s="117">
        <f>RANK(S4,$S$1:$S$17,0)+COUNTIF($S$1:$S4,S4)-1</f>
        <v>2</v>
      </c>
      <c r="U4" s="88"/>
      <c r="V4" s="88"/>
      <c r="W4" s="88"/>
      <c r="X4" s="88"/>
      <c r="Y4" s="88"/>
      <c r="Z4" s="88"/>
    </row>
    <row r="5" spans="1:26" ht="15" customHeight="1">
      <c r="A5" s="88"/>
      <c r="B5" s="88"/>
      <c r="C5" s="88"/>
      <c r="D5" s="88"/>
      <c r="E5" s="88"/>
      <c r="F5" s="88"/>
      <c r="G5" s="88"/>
      <c r="H5" s="88"/>
      <c r="I5" s="88"/>
      <c r="J5" s="88"/>
      <c r="K5" s="88"/>
      <c r="L5" s="88"/>
      <c r="M5" s="88"/>
      <c r="N5" s="88"/>
      <c r="O5" s="88"/>
      <c r="P5" s="88"/>
      <c r="Q5" s="88"/>
      <c r="R5" s="117" t="s">
        <v>280</v>
      </c>
      <c r="S5" s="164">
        <f>COUNTIFS(Tracker!Q5:Q356,R5,Tracker!L5:L356,"&lt;&gt;")</f>
        <v>11</v>
      </c>
      <c r="T5" s="117">
        <f>RANK(S5,$S$1:$S$17,0)+COUNTIF($S$1:$S5,S5)-1</f>
        <v>4</v>
      </c>
      <c r="U5" s="88"/>
      <c r="V5" s="88"/>
      <c r="W5" s="88"/>
      <c r="X5" s="88"/>
      <c r="Y5" s="88"/>
      <c r="Z5" s="88"/>
    </row>
    <row r="6" spans="1:26" ht="20.25" customHeight="1">
      <c r="A6" s="88"/>
      <c r="B6" s="257" t="s">
        <v>670</v>
      </c>
      <c r="C6" s="270"/>
      <c r="D6" s="88"/>
      <c r="E6" s="260" t="s">
        <v>671</v>
      </c>
      <c r="F6" s="271"/>
      <c r="G6" s="88"/>
      <c r="H6" s="257" t="s">
        <v>672</v>
      </c>
      <c r="I6" s="270"/>
      <c r="J6" s="88"/>
      <c r="K6" s="267" t="s">
        <v>673</v>
      </c>
      <c r="L6" s="272"/>
      <c r="M6" s="88"/>
      <c r="N6" s="88"/>
      <c r="O6" s="88"/>
      <c r="P6" s="88"/>
      <c r="Q6" s="88"/>
      <c r="R6" s="117" t="s">
        <v>564</v>
      </c>
      <c r="S6" s="164">
        <f>COUNTIFS(Tracker!Q5:Q356,R6,Tracker!L5:L356,"&lt;&gt;")</f>
        <v>0</v>
      </c>
      <c r="T6" s="117">
        <f>RANK(S6,$S$1:$S$17,0)+COUNTIF($S$1:$S6,S6)-1</f>
        <v>14</v>
      </c>
      <c r="U6" s="88"/>
      <c r="V6" s="88"/>
      <c r="W6" s="88"/>
      <c r="X6" s="88"/>
      <c r="Y6" s="88"/>
      <c r="Z6" s="88"/>
    </row>
    <row r="7" spans="1:26" ht="50.25" customHeight="1">
      <c r="A7" s="88"/>
      <c r="B7" s="258">
        <f>COUNTIFS(Tracker!A5:A356,"&lt;&gt;",Tracker!L5:L356,"&lt;&gt;")</f>
        <v>199</v>
      </c>
      <c r="C7" s="273"/>
      <c r="D7" s="88"/>
      <c r="E7" s="261">
        <f>IFERROR(COUNTIF(Tracker!L5:L356,"Approved")/COUNTIFS(Tracker!L5:L356,"&lt;&gt;",Tracker!L5:L356,"&lt;&gt;New",Tracker!L5:L356,"&lt;&gt;In process"),0)</f>
        <v>0.93333333333333335</v>
      </c>
      <c r="F7" s="274"/>
      <c r="G7" s="88"/>
      <c r="H7" s="262" cm="1">
        <f t="array" ref="H7">IFERROR(ROUND(SUMPRODUCT((Tracker!N5:N356&gt;0)*(Tracker!P5:P356&gt;0)*(Tracker!L5:L356&lt;&gt;"")*(Tracker!N5:N356-Tracker!P5:P356))/SUMPRODUCT((Tracker!N5:N356&gt;0)*(Tracker!P5:P356&gt;0)*(Tracker!L5:L356&lt;&gt;"")*1),1),"-")</f>
        <v>8</v>
      </c>
      <c r="I7" s="273"/>
      <c r="J7" s="88"/>
      <c r="K7" s="258">
        <f>SUMIF(Tracker!L5:L356,"&lt;&gt;",Tracker!I5:I356)</f>
        <v>944</v>
      </c>
      <c r="L7" s="273"/>
      <c r="M7" s="88"/>
      <c r="N7" s="88"/>
      <c r="O7" s="88"/>
      <c r="P7" s="88"/>
      <c r="Q7" s="88"/>
      <c r="R7" s="117" t="s">
        <v>493</v>
      </c>
      <c r="S7" s="164">
        <f>COUNTIFS(Tracker!Q5:Q356,R7,Tracker!L5:L356,"&lt;&gt;")</f>
        <v>0</v>
      </c>
      <c r="T7" s="117">
        <f>RANK(S7,$S$1:$S$17,0)+COUNTIF($S$1:$S7,S7)-1</f>
        <v>15</v>
      </c>
      <c r="U7" s="88"/>
      <c r="V7" s="88"/>
      <c r="W7" s="88"/>
      <c r="X7" s="88"/>
      <c r="Y7" s="88"/>
      <c r="Z7" s="88"/>
    </row>
    <row r="8" spans="1:26" ht="20.25" customHeight="1">
      <c r="A8" s="88"/>
      <c r="B8" s="259" t="str">
        <f>"of which "&amp;COUNTIF(Tracker!L5:L356,"New")&amp;" new"</f>
        <v>of which 63 new</v>
      </c>
      <c r="C8" s="275"/>
      <c r="D8" s="88"/>
      <c r="E8" s="259" t="str">
        <f>COUNTIF(Tracker!L5:L356,"Approved")&amp;" approved / "&amp;COUNTIF(Tracker!L5:L356,"Denied")&amp;" denied"</f>
        <v>126 approved / 1 denied</v>
      </c>
      <c r="F8" s="276"/>
      <c r="G8" s="88"/>
      <c r="H8" s="266" t="s">
        <v>674</v>
      </c>
      <c r="I8" s="277"/>
      <c r="J8" s="88"/>
      <c r="K8" s="259" t="str">
        <f>"avg. "&amp;FIXED(IFERROR(SUMIF(Tracker!L5:L356,"&lt;&gt;",Tracker!I5:I356)/COUNTIFS(Tracker!A5:A356,"&lt;&gt;",Tracker!L5:L356,"&lt;&gt;"),0),1)&amp;" per property"</f>
        <v>avg. 4,7 per property</v>
      </c>
      <c r="L8" s="275"/>
      <c r="M8" s="88"/>
      <c r="N8" s="88"/>
      <c r="O8" s="88"/>
      <c r="P8" s="88"/>
      <c r="Q8" s="88"/>
      <c r="R8" s="117" t="s">
        <v>246</v>
      </c>
      <c r="S8" s="164">
        <f>COUNTIFS(Tracker!Q5:Q356,R8,Tracker!L5:L356,"&lt;&gt;")</f>
        <v>11</v>
      </c>
      <c r="T8" s="117">
        <f>RANK(S8,$S$1:$S$17,0)+COUNTIF($S$1:$S8,S8)-1</f>
        <v>5</v>
      </c>
      <c r="U8" s="88"/>
      <c r="V8" s="88"/>
      <c r="W8" s="88"/>
      <c r="X8" s="88"/>
      <c r="Y8" s="88"/>
      <c r="Z8" s="88"/>
    </row>
    <row r="9" spans="1:26" ht="15" customHeight="1">
      <c r="A9" s="88"/>
      <c r="B9" s="88"/>
      <c r="C9" s="88"/>
      <c r="D9" s="88"/>
      <c r="E9" s="88"/>
      <c r="F9" s="88"/>
      <c r="G9" s="88"/>
      <c r="H9" s="88"/>
      <c r="I9" s="88"/>
      <c r="J9" s="88"/>
      <c r="K9" s="88"/>
      <c r="L9" s="88"/>
      <c r="M9" s="88"/>
      <c r="N9" s="88"/>
      <c r="O9" s="88"/>
      <c r="P9" s="88"/>
      <c r="Q9" s="88"/>
      <c r="R9" s="117" t="s">
        <v>599</v>
      </c>
      <c r="S9" s="164">
        <f>COUNTIFS(Tracker!Q5:Q356,R9,Tracker!L5:L356,"&lt;&gt;")</f>
        <v>0</v>
      </c>
      <c r="T9" s="117">
        <f>RANK(S9,$S$1:$S$17,0)+COUNTIF($S$1:$S9,S9)-1</f>
        <v>16</v>
      </c>
      <c r="U9" s="88"/>
      <c r="V9" s="88"/>
      <c r="W9" s="88"/>
      <c r="X9" s="88"/>
      <c r="Y9" s="88"/>
      <c r="Z9" s="88"/>
    </row>
    <row r="10" spans="1:26" ht="27.75" customHeight="1">
      <c r="A10" s="88"/>
      <c r="B10" s="263" t="s">
        <v>675</v>
      </c>
      <c r="C10" s="264"/>
      <c r="D10" s="265"/>
      <c r="E10" s="264"/>
      <c r="F10" s="264"/>
      <c r="G10" s="88"/>
      <c r="H10" s="263" t="s">
        <v>676</v>
      </c>
      <c r="I10" s="264"/>
      <c r="J10" s="265"/>
      <c r="K10" s="264"/>
      <c r="L10" s="264"/>
      <c r="M10" s="88"/>
      <c r="N10" s="88"/>
      <c r="O10" s="88"/>
      <c r="P10" s="88"/>
      <c r="Q10" s="88"/>
      <c r="R10" s="117" t="s">
        <v>229</v>
      </c>
      <c r="S10" s="164">
        <f>COUNTIFS(Tracker!Q5:Q356,R10,Tracker!L5:L356,"&lt;&gt;")</f>
        <v>4</v>
      </c>
      <c r="T10" s="117">
        <f>RANK(S10,$S$1:$S$17,0)+COUNTIF($S$1:$S10,S10)-1</f>
        <v>10</v>
      </c>
      <c r="U10" s="88"/>
      <c r="V10" s="88"/>
      <c r="W10" s="88"/>
      <c r="X10" s="88"/>
      <c r="Y10" s="88"/>
      <c r="Z10" s="88"/>
    </row>
    <row r="11" spans="1:26" ht="24" customHeight="1">
      <c r="A11" s="88"/>
      <c r="B11" s="92" t="s">
        <v>22</v>
      </c>
      <c r="C11" s="93" t="s">
        <v>19</v>
      </c>
      <c r="D11" s="116"/>
      <c r="E11" s="268" t="s">
        <v>677</v>
      </c>
      <c r="F11" s="268"/>
      <c r="G11" s="88"/>
      <c r="H11" s="92" t="s">
        <v>23</v>
      </c>
      <c r="I11" s="93" t="s">
        <v>19</v>
      </c>
      <c r="J11" s="88"/>
      <c r="K11" s="268" t="s">
        <v>677</v>
      </c>
      <c r="L11" s="268"/>
      <c r="M11" s="88"/>
      <c r="N11" s="88"/>
      <c r="O11" s="88"/>
      <c r="P11" s="88"/>
      <c r="Q11" s="88"/>
      <c r="R11" s="117" t="s">
        <v>103</v>
      </c>
      <c r="S11" s="164">
        <f>COUNTIFS(Tracker!Q5:Q356,R11,Tracker!L5:L356,"&lt;&gt;")</f>
        <v>3</v>
      </c>
      <c r="T11" s="117">
        <f>RANK(S11,$S$1:$S$17,0)+COUNTIF($S$1:$S11,S11)-1</f>
        <v>11</v>
      </c>
      <c r="U11" s="88"/>
      <c r="V11" s="88"/>
      <c r="W11" s="88"/>
      <c r="X11" s="88"/>
      <c r="Y11" s="88"/>
      <c r="Z11" s="88"/>
    </row>
    <row r="12" spans="1:26" ht="24" customHeight="1">
      <c r="A12" s="88"/>
      <c r="B12" s="95" t="s">
        <v>678</v>
      </c>
      <c r="C12" s="240">
        <f>COUNTIF(Tracker!L5:L356,"Approved")</f>
        <v>126</v>
      </c>
      <c r="D12" s="88"/>
      <c r="E12" s="97">
        <f>IFERROR(C12/SUM($C$12:$C$16),0)</f>
        <v>0.63636363636363635</v>
      </c>
      <c r="F12" s="108" t="str">
        <f>REPT("█",ROUND(E12*20,0))&amp;REPT("░",20-ROUND(E12*20,0))</f>
        <v>█████████████░░░░░░░</v>
      </c>
      <c r="G12" s="88"/>
      <c r="H12" s="103" t="s">
        <v>679</v>
      </c>
      <c r="I12" s="238">
        <f>COUNTIFS(Tracker!M5:M356,"High",Tracker!L5:L356,"&lt;&gt;")</f>
        <v>98</v>
      </c>
      <c r="J12" s="88"/>
      <c r="K12" s="105">
        <f>IFERROR(I12/SUM($I$12:$I$14),0)</f>
        <v>0.49246231155778897</v>
      </c>
      <c r="L12" s="111" t="str">
        <f>REPT("█",ROUND(K12*20,0))&amp;REPT("░",20-ROUND(K12*20,0))</f>
        <v>██████████░░░░░░░░░░</v>
      </c>
      <c r="M12" s="88"/>
      <c r="N12" s="88"/>
      <c r="O12" s="88"/>
      <c r="P12" s="88"/>
      <c r="Q12" s="88"/>
      <c r="R12" s="117" t="s">
        <v>181</v>
      </c>
      <c r="S12" s="164">
        <f>COUNTIFS(Tracker!Q5:Q356,R12,Tracker!L5:L356,"&lt;&gt;")</f>
        <v>9</v>
      </c>
      <c r="T12" s="117">
        <f>RANK(S12,$S$1:$S$17,0)+COUNTIF($S$1:$S12,S12)-1</f>
        <v>6</v>
      </c>
      <c r="U12" s="88"/>
      <c r="V12" s="88"/>
      <c r="W12" s="88"/>
      <c r="X12" s="88"/>
      <c r="Y12" s="88"/>
      <c r="Z12" s="88"/>
    </row>
    <row r="13" spans="1:26" ht="24" customHeight="1">
      <c r="A13" s="88"/>
      <c r="B13" s="98" t="s">
        <v>680</v>
      </c>
      <c r="C13" s="240">
        <f>COUNTIF(Tracker!L5:L356,"In process")</f>
        <v>1</v>
      </c>
      <c r="D13" s="88"/>
      <c r="E13" s="99">
        <f>IFERROR(C13/SUM($C$12:$C$16),0)</f>
        <v>5.0505050505050509E-3</v>
      </c>
      <c r="F13" s="109" t="str">
        <f>REPT("█",ROUND(E13*20,0))&amp;REPT("░",20-ROUND(E13*20,0))</f>
        <v>░░░░░░░░░░░░░░░░░░░░</v>
      </c>
      <c r="G13" s="88"/>
      <c r="H13" s="100" t="s">
        <v>681</v>
      </c>
      <c r="I13" s="238">
        <f>COUNTIFS(Tracker!M5:M356,"Medium",Tracker!L5:L356,"&lt;&gt;")</f>
        <v>33</v>
      </c>
      <c r="J13" s="88"/>
      <c r="K13" s="102">
        <f>IFERROR(I13/SUM($I$12:$I$14),0)</f>
        <v>0.16582914572864321</v>
      </c>
      <c r="L13" s="110" t="str">
        <f>REPT("█",ROUND(K13*20,0))&amp;REPT("░",20-ROUND(K13*20,0))</f>
        <v>███░░░░░░░░░░░░░░░░░</v>
      </c>
      <c r="M13" s="88"/>
      <c r="N13" s="88"/>
      <c r="O13" s="88"/>
      <c r="P13" s="88"/>
      <c r="Q13" s="88"/>
      <c r="R13" s="117" t="s">
        <v>36</v>
      </c>
      <c r="S13" s="164">
        <f>COUNTIFS(Tracker!Q5:Q356,R13,Tracker!L5:L356,"&lt;&gt;")</f>
        <v>6</v>
      </c>
      <c r="T13" s="117">
        <f>RANK(S13,$S$1:$S$17,0)+COUNTIF($S$1:$S13,S13)-1</f>
        <v>8</v>
      </c>
      <c r="U13" s="88"/>
      <c r="V13" s="88"/>
      <c r="W13" s="88"/>
      <c r="X13" s="88"/>
      <c r="Y13" s="88"/>
      <c r="Z13" s="88"/>
    </row>
    <row r="14" spans="1:26" ht="24" customHeight="1">
      <c r="A14" s="88"/>
      <c r="B14" s="101" t="s">
        <v>682</v>
      </c>
      <c r="C14" s="240">
        <f>COUNTIF(Tracker!L5:L356,"QC")</f>
        <v>7</v>
      </c>
      <c r="D14" s="88"/>
      <c r="E14" s="102">
        <f>IFERROR(C14/SUM($C$12:$C$16),0)</f>
        <v>3.5353535353535352E-2</v>
      </c>
      <c r="F14" s="110" t="str">
        <f>REPT("█",ROUND(E14*20,0))&amp;REPT("░",20-ROUND(E14*20,0))</f>
        <v>█░░░░░░░░░░░░░░░░░░░</v>
      </c>
      <c r="G14" s="88"/>
      <c r="H14" s="94" t="s">
        <v>683</v>
      </c>
      <c r="I14" s="238">
        <f>COUNTIFS(Tracker!M5:M356,"Low",Tracker!L5:L356,"&lt;&gt;")</f>
        <v>68</v>
      </c>
      <c r="J14" s="88"/>
      <c r="K14" s="97">
        <f>IFERROR(I14/SUM($I$12:$I$14),0)</f>
        <v>0.34170854271356782</v>
      </c>
      <c r="L14" s="108" t="str">
        <f>REPT("█",ROUND(K14*20,0))&amp;REPT("░",20-ROUND(K14*20,0))</f>
        <v>███████░░░░░░░░░░░░░</v>
      </c>
      <c r="M14" s="88"/>
      <c r="N14" s="88"/>
      <c r="O14" s="88"/>
      <c r="P14" s="88"/>
      <c r="Q14" s="88"/>
      <c r="R14" s="117" t="s">
        <v>128</v>
      </c>
      <c r="S14" s="164">
        <f>COUNTIFS(Tracker!Q5:Q356,R14,Tracker!L5:L356,"&lt;&gt;")</f>
        <v>1</v>
      </c>
      <c r="T14" s="117">
        <f>RANK(S14,$S$1:$S$17,0)+COUNTIF($S$1:$S14,S14)-1</f>
        <v>12</v>
      </c>
      <c r="U14" s="88"/>
      <c r="V14" s="88"/>
      <c r="W14" s="88"/>
      <c r="X14" s="88"/>
      <c r="Y14" s="88"/>
      <c r="Z14" s="88"/>
    </row>
    <row r="15" spans="1:26" ht="24" customHeight="1">
      <c r="A15" s="88"/>
      <c r="B15" s="104" t="s">
        <v>684</v>
      </c>
      <c r="C15" s="240">
        <f>COUNTIF(Tracker!L5:L356,"Denied")</f>
        <v>1</v>
      </c>
      <c r="D15" s="88"/>
      <c r="E15" s="105">
        <f>IFERROR(C15/SUM($C$12:$C$16),0)</f>
        <v>5.0505050505050509E-3</v>
      </c>
      <c r="F15" s="111" t="str">
        <f>REPT("█",ROUND(E15*20,0))&amp;REPT("░",20-ROUND(E15*20,0))</f>
        <v>░░░░░░░░░░░░░░░░░░░░</v>
      </c>
      <c r="G15" s="88"/>
      <c r="H15" s="113" t="s">
        <v>685</v>
      </c>
      <c r="I15" s="238">
        <f>COUNTIFS(Tracker!J5:J356,"",Tracker!L5:L356,"&lt;&gt;")</f>
        <v>34</v>
      </c>
      <c r="J15" s="88"/>
      <c r="K15" s="239">
        <f>IFERROR(I15/COUNTIFS(Tracker!A5:A356,"&lt;&gt;",Tracker!L5:L356,"&lt;&gt;"),0)</f>
        <v>0.17085427135678391</v>
      </c>
      <c r="L15" s="153" t="str">
        <f>REPT("█",ROUND(K15*20,0))&amp;REPT("░",20-ROUND(K15*20,0))</f>
        <v>███░░░░░░░░░░░░░░░░░</v>
      </c>
      <c r="M15" s="88"/>
      <c r="N15" s="88"/>
      <c r="O15" s="88"/>
      <c r="P15" s="88"/>
      <c r="Q15" s="88"/>
      <c r="R15" s="117" t="s">
        <v>368</v>
      </c>
      <c r="S15" s="164">
        <f>COUNTIFS(Tracker!Q5:Q356,R15,Tracker!L5:L356,"&lt;&gt;")</f>
        <v>8</v>
      </c>
      <c r="T15" s="117">
        <f>RANK(S15,$S$1:$S$17,0)+COUNTIF($S$1:$S15,S15)-1</f>
        <v>7</v>
      </c>
      <c r="U15" s="88"/>
      <c r="V15" s="88"/>
      <c r="W15" s="88"/>
      <c r="X15" s="88"/>
      <c r="Y15" s="88"/>
      <c r="Z15" s="88"/>
    </row>
    <row r="16" spans="1:26" ht="24" customHeight="1">
      <c r="A16" s="88"/>
      <c r="B16" s="106" t="s">
        <v>686</v>
      </c>
      <c r="C16" s="240">
        <f>COUNTIF(Tracker!L5:L356,"New")</f>
        <v>63</v>
      </c>
      <c r="D16" s="88"/>
      <c r="E16" s="107">
        <f>IFERROR(C16/SUM($C$12:$C$16),0)</f>
        <v>0.31818181818181818</v>
      </c>
      <c r="F16" s="112" t="str">
        <f>REPT("█",ROUND(E16*20,0))&amp;REPT("░",20-ROUND(E16*20,0))</f>
        <v>██████░░░░░░░░░░░░░░</v>
      </c>
      <c r="G16" s="88"/>
      <c r="H16" s="88"/>
      <c r="I16" s="88"/>
      <c r="J16" s="88"/>
      <c r="K16" s="88"/>
      <c r="L16" s="88"/>
      <c r="M16" s="88"/>
      <c r="N16" s="88"/>
      <c r="O16" s="88"/>
      <c r="P16" s="88"/>
      <c r="Q16" s="88"/>
      <c r="R16" s="117" t="s">
        <v>575</v>
      </c>
      <c r="S16" s="164">
        <f>COUNTIFS(Tracker!Q5:Q356,R16,Tracker!L5:L356,"&lt;&gt;")</f>
        <v>0</v>
      </c>
      <c r="T16" s="117">
        <f>RANK(S16,$S$1:$S$17,0)+COUNTIF($S$1:$S16,S16)-1</f>
        <v>17</v>
      </c>
      <c r="U16" s="88"/>
      <c r="V16" s="88"/>
      <c r="W16" s="88"/>
      <c r="X16" s="88"/>
      <c r="Y16" s="88"/>
      <c r="Z16" s="88"/>
    </row>
    <row r="17" spans="1:26" ht="15" customHeight="1">
      <c r="A17" s="88"/>
      <c r="B17" s="88"/>
      <c r="C17" s="88"/>
      <c r="D17" s="88"/>
      <c r="E17" s="88"/>
      <c r="F17" s="88"/>
      <c r="G17" s="88"/>
      <c r="H17" s="88"/>
      <c r="I17" s="88"/>
      <c r="J17" s="88"/>
      <c r="K17" s="88"/>
      <c r="L17" s="88"/>
      <c r="M17" s="88"/>
      <c r="N17" s="88"/>
      <c r="O17" s="88"/>
      <c r="P17" s="88"/>
      <c r="Q17" s="88"/>
      <c r="R17" s="117" t="s">
        <v>362</v>
      </c>
      <c r="S17" s="164">
        <f>COUNTIFS(Tracker!Q5:Q356,R17,Tracker!L5:L356,"&lt;&gt;")</f>
        <v>1</v>
      </c>
      <c r="T17" s="117">
        <f>RANK(S17,$S$1:$S$17,0)+COUNTIF($S$1:$S17,S17)-1</f>
        <v>13</v>
      </c>
      <c r="U17" s="88"/>
      <c r="V17" s="88"/>
      <c r="W17" s="88"/>
      <c r="X17" s="88"/>
      <c r="Y17" s="88"/>
      <c r="Z17" s="88"/>
    </row>
    <row r="18" spans="1:26" ht="27.75" customHeight="1">
      <c r="A18" s="88"/>
      <c r="B18" s="263" t="s">
        <v>687</v>
      </c>
      <c r="C18" s="264"/>
      <c r="D18" s="265"/>
      <c r="E18" s="264"/>
      <c r="F18" s="264"/>
      <c r="G18" s="265"/>
      <c r="H18" s="264"/>
      <c r="I18" s="264"/>
      <c r="J18" s="265"/>
      <c r="K18" s="264"/>
      <c r="L18" s="264"/>
      <c r="M18" s="88"/>
      <c r="N18" s="88"/>
      <c r="O18" s="88"/>
      <c r="P18" s="88"/>
      <c r="Q18" s="88"/>
      <c r="R18" s="117"/>
      <c r="S18" s="117"/>
      <c r="T18" s="117"/>
      <c r="U18" s="88"/>
      <c r="V18" s="88"/>
      <c r="W18" s="88"/>
      <c r="X18" s="88"/>
      <c r="Y18" s="88"/>
      <c r="Z18" s="88"/>
    </row>
    <row r="19" spans="1:26" ht="24" customHeight="1">
      <c r="A19" s="88"/>
      <c r="B19" s="118" t="s">
        <v>688</v>
      </c>
      <c r="C19" s="119" t="s">
        <v>689</v>
      </c>
      <c r="D19" s="114"/>
      <c r="E19" s="120" t="s">
        <v>31</v>
      </c>
      <c r="F19" s="121" t="s">
        <v>356</v>
      </c>
      <c r="G19" s="114"/>
      <c r="H19" s="122" t="s">
        <v>331</v>
      </c>
      <c r="I19" s="120" t="s">
        <v>690</v>
      </c>
      <c r="J19" s="114"/>
      <c r="K19" s="119" t="s">
        <v>691</v>
      </c>
      <c r="L19" s="119" t="s">
        <v>692</v>
      </c>
      <c r="M19" s="88"/>
      <c r="N19" s="88"/>
      <c r="O19" s="88"/>
      <c r="P19" s="88"/>
      <c r="Q19" s="88"/>
      <c r="R19" s="117" t="s">
        <v>22</v>
      </c>
      <c r="S19" s="117" t="s">
        <v>693</v>
      </c>
      <c r="T19" s="117"/>
      <c r="U19" s="88"/>
      <c r="V19" s="88"/>
      <c r="W19" s="88"/>
      <c r="X19" s="88"/>
      <c r="Y19" s="88"/>
      <c r="Z19" s="88"/>
    </row>
    <row r="20" spans="1:26" ht="24" customHeight="1">
      <c r="A20" s="88"/>
      <c r="B20" s="115" t="s">
        <v>30</v>
      </c>
      <c r="C20" s="236">
        <f>COUNTIFS(Tracker!J5:J356,"Jill",Tracker!L5:L356,"&lt;&gt;")</f>
        <v>77</v>
      </c>
      <c r="D20" s="114"/>
      <c r="E20" s="236">
        <f>COUNTIFS(Tracker!J5:J356,"Jill",Tracker!L5:L356,"Approved")</f>
        <v>77</v>
      </c>
      <c r="F20" s="236">
        <f>COUNTIFS(Tracker!J5:J356,"Jill",Tracker!L5:L356,"Denied")</f>
        <v>0</v>
      </c>
      <c r="G20" s="114"/>
      <c r="H20" s="236">
        <f>COUNTIFS(Tracker!J5:J356,"Jill",Tracker!L5:L356,"In process")</f>
        <v>0</v>
      </c>
      <c r="I20" s="128">
        <f>IFERROR(E20/(E20+F20),0)</f>
        <v>1</v>
      </c>
      <c r="J20" s="114"/>
      <c r="K20" s="184" cm="1">
        <f t="array" ref="K20">IFERROR(ROUND(SUMPRODUCT((Tracker!J5:J356="Jill")*(Tracker!L5:L356&lt;&gt;"")*(Tracker!N5:N356&gt;0)*(Tracker!P5:P356&gt;0)*(Tracker!N5:N356-Tracker!P5:P356))/SUMPRODUCT((Tracker!J5:J356="Jill")*(Tracker!L5:L356&lt;&gt;"")*(Tracker!N5:N356&gt;0)*(Tracker!P5:P356&gt;0)*1),1),"-")</f>
        <v>8.3000000000000007</v>
      </c>
      <c r="L20" s="236">
        <f>SUMIFS(Tracker!I5:I356,Tracker!J5:J356,"Jill",Tracker!L5:L356,"&lt;&gt;")</f>
        <v>315</v>
      </c>
      <c r="M20" s="88"/>
      <c r="N20" s="88"/>
      <c r="O20" s="88"/>
      <c r="P20" s="88"/>
      <c r="Q20" s="88"/>
      <c r="R20" s="117" t="s">
        <v>31</v>
      </c>
      <c r="S20" s="117">
        <f>C12</f>
        <v>126</v>
      </c>
      <c r="T20" s="117"/>
      <c r="U20" s="88"/>
      <c r="V20" s="88"/>
      <c r="W20" s="88"/>
      <c r="X20" s="88"/>
      <c r="Y20" s="88"/>
      <c r="Z20" s="88"/>
    </row>
    <row r="21" spans="1:26" ht="24" customHeight="1">
      <c r="A21" s="88"/>
      <c r="B21" s="115" t="s">
        <v>101</v>
      </c>
      <c r="C21" s="236">
        <f>COUNTIFS(Tracker!J5:J356,"Wouter",Tracker!L5:L356,"&lt;&gt;")</f>
        <v>4</v>
      </c>
      <c r="D21" s="114"/>
      <c r="E21" s="236">
        <f>COUNTIFS(Tracker!J5:J356,"Wouter",Tracker!L5:L356,"Approved")</f>
        <v>4</v>
      </c>
      <c r="F21" s="236">
        <f>COUNTIFS(Tracker!J5:J356,"Wouter",Tracker!L5:L356,"Denied")</f>
        <v>0</v>
      </c>
      <c r="G21" s="114"/>
      <c r="H21" s="236">
        <f>COUNTIFS(Tracker!J5:J356,"Wouter",Tracker!L5:L356,"In process")</f>
        <v>0</v>
      </c>
      <c r="I21" s="128">
        <f>IFERROR(E21/(E21+F21),0)</f>
        <v>1</v>
      </c>
      <c r="J21" s="114"/>
      <c r="K21" s="184" cm="1">
        <f t="array" ref="K21">IFERROR(ROUND(SUMPRODUCT((Tracker!J5:J356="Wouter")*(Tracker!L5:L356&lt;&gt;"")*(Tracker!N5:N356&gt;0)*(Tracker!P5:P356&gt;0)*(Tracker!N5:N356-Tracker!P5:P356))/SUMPRODUCT((Tracker!J5:J356="Wouter")*(Tracker!L5:L356&lt;&gt;"")*(Tracker!N5:N356&gt;0)*(Tracker!P5:P356&gt;0)*1),1),"-")</f>
        <v>0.8</v>
      </c>
      <c r="L21" s="236">
        <f>SUMIFS(Tracker!I5:I356,Tracker!J5:J356,"Wouter",Tracker!L5:L356,"&lt;&gt;")</f>
        <v>37</v>
      </c>
      <c r="M21" s="88"/>
      <c r="N21" s="88"/>
      <c r="O21" s="88"/>
      <c r="P21" s="88"/>
      <c r="Q21" s="88"/>
      <c r="R21" s="117" t="s">
        <v>331</v>
      </c>
      <c r="S21" s="117">
        <f>C13</f>
        <v>1</v>
      </c>
      <c r="T21" s="117"/>
      <c r="U21" s="88"/>
      <c r="V21" s="88"/>
      <c r="W21" s="88"/>
      <c r="X21" s="88"/>
      <c r="Y21" s="88"/>
      <c r="Z21" s="88"/>
    </row>
    <row r="22" spans="1:26" ht="24" customHeight="1">
      <c r="A22" s="88"/>
      <c r="B22" s="115" t="s">
        <v>183</v>
      </c>
      <c r="C22" s="236">
        <f>COUNTIFS(Tracker!J5:J356,"Rosalynn",Tracker!L5:L356,"&lt;&gt;")</f>
        <v>54</v>
      </c>
      <c r="D22" s="114"/>
      <c r="E22" s="236">
        <f>COUNTIFS(Tracker!J5:J356,"Rosalynn",Tracker!L5:L356,"Approved")</f>
        <v>21</v>
      </c>
      <c r="F22" s="236">
        <f>COUNTIFS(Tracker!J5:J356,"Rosalynn",Tracker!L5:L356,"Denied")</f>
        <v>1</v>
      </c>
      <c r="G22" s="114"/>
      <c r="H22" s="236">
        <f>COUNTIFS(Tracker!J5:J356,"Rosalynn",Tracker!L5:L356,"In process")</f>
        <v>1</v>
      </c>
      <c r="I22" s="128">
        <f>IFERROR(E22/(E22+F22),0)</f>
        <v>0.95454545454545459</v>
      </c>
      <c r="J22" s="114"/>
      <c r="K22" s="184" cm="1">
        <f t="array" ref="K22">IFERROR(ROUND(SUMPRODUCT((Tracker!J5:J356="Rosalynn")*(Tracker!L5:L356&lt;&gt;"")*(Tracker!N5:N356&gt;0)*(Tracker!P5:P356&gt;0)*(Tracker!N5:N356-Tracker!P5:P356))/SUMPRODUCT((Tracker!J5:J356="Rosalynn")*(Tracker!L5:L356&lt;&gt;"")*(Tracker!N5:N356&gt;0)*(Tracker!P5:P356&gt;0)*1),1),"-")</f>
        <v>13.5</v>
      </c>
      <c r="L22" s="236">
        <f>SUMIFS(Tracker!I5:I356,Tracker!J5:J356,"Rosalynn",Tracker!L5:L356,"&lt;&gt;")</f>
        <v>332</v>
      </c>
      <c r="M22" s="88"/>
      <c r="N22" s="88"/>
      <c r="O22" s="88"/>
      <c r="P22" s="88"/>
      <c r="Q22" s="88"/>
      <c r="R22" s="117" t="s">
        <v>228</v>
      </c>
      <c r="S22" s="117">
        <f>C14</f>
        <v>7</v>
      </c>
      <c r="T22" s="117"/>
      <c r="U22" s="88"/>
      <c r="V22" s="88"/>
      <c r="W22" s="88"/>
      <c r="X22" s="88"/>
      <c r="Y22" s="88"/>
      <c r="Z22" s="88"/>
    </row>
    <row r="23" spans="1:26" ht="24" customHeight="1">
      <c r="A23" s="88"/>
      <c r="B23" s="115" t="s">
        <v>132</v>
      </c>
      <c r="C23" s="236">
        <f>COUNTIFS(Tracker!J5:J356,$B23,Tracker!L5:L356,"&lt;&gt;")</f>
        <v>22</v>
      </c>
      <c r="D23" s="114"/>
      <c r="E23" s="236">
        <f>COUNTIFS(Tracker!J5:J356,$B23,Tracker!L5:L356,"Approved")</f>
        <v>16</v>
      </c>
      <c r="F23" s="236">
        <f>COUNTIFS(Tracker!J5:J356,$B23,Tracker!L5:L356,"Denied")</f>
        <v>0</v>
      </c>
      <c r="G23" s="114"/>
      <c r="H23" s="236">
        <f>COUNTIFS(Tracker!J5:J356,$B23,Tracker!L5:L356,"In process")</f>
        <v>0</v>
      </c>
      <c r="I23" s="128">
        <f>IFERROR(E23/(E23+F23),0)</f>
        <v>1</v>
      </c>
      <c r="J23" s="114"/>
      <c r="K23" s="184" cm="1">
        <f t="array" ref="K23">IFERROR(ROUND(SUMPRODUCT((Tracker!J5:J356=$B23)*(Tracker!L5:L356&lt;&gt;"")*(Tracker!N5:N356&gt;0)*(Tracker!P5:P356&gt;0)*(Tracker!N5:N356-Tracker!P5:P356))/SUMPRODUCT((Tracker!J5:J356=$B23)*(Tracker!L5:L356&lt;&gt;"")*(Tracker!N5:N356&gt;0)*(Tracker!P5:P356&gt;0)*1),1),"-")</f>
        <v>2.9</v>
      </c>
      <c r="L23" s="236">
        <f>SUMIFS(Tracker!I5:I356,Tracker!J5:J356,$B23,Tracker!L5:L356,"&lt;&gt;")</f>
        <v>133</v>
      </c>
      <c r="M23" s="88"/>
      <c r="N23" s="88"/>
      <c r="O23" s="88"/>
      <c r="P23" s="88"/>
      <c r="Q23" s="88"/>
      <c r="R23" s="117"/>
      <c r="S23" s="117"/>
      <c r="T23" s="117"/>
      <c r="U23" s="88"/>
      <c r="V23" s="88"/>
      <c r="W23" s="88"/>
      <c r="X23" s="88"/>
      <c r="Y23" s="88"/>
      <c r="Z23" s="88"/>
    </row>
    <row r="24" spans="1:26" ht="24" customHeight="1">
      <c r="A24" s="88"/>
      <c r="B24" s="123" t="s">
        <v>694</v>
      </c>
      <c r="C24" s="124">
        <f>SUM(C20:C23)</f>
        <v>157</v>
      </c>
      <c r="D24" s="114"/>
      <c r="E24" s="125">
        <f>SUM(E20:E23)</f>
        <v>118</v>
      </c>
      <c r="F24" s="126">
        <f>SUM(F20:F23)</f>
        <v>1</v>
      </c>
      <c r="G24" s="114"/>
      <c r="H24" s="127">
        <f>SUM(H20:H23)</f>
        <v>1</v>
      </c>
      <c r="I24" s="128">
        <f>IFERROR(E24/(E24+F24),0)</f>
        <v>0.99159663865546221</v>
      </c>
      <c r="J24" s="114"/>
      <c r="K24" s="185">
        <f>H7</f>
        <v>8</v>
      </c>
      <c r="L24" s="184">
        <f>SUM(L20:L23)</f>
        <v>817</v>
      </c>
      <c r="M24" s="88"/>
      <c r="N24" s="88"/>
      <c r="O24" s="88"/>
      <c r="P24" s="88"/>
      <c r="Q24" s="88"/>
      <c r="R24" s="117" t="s">
        <v>356</v>
      </c>
      <c r="S24" s="117">
        <f>C15</f>
        <v>1</v>
      </c>
      <c r="T24" s="117"/>
      <c r="U24" s="88"/>
      <c r="V24" s="88"/>
      <c r="W24" s="88"/>
      <c r="X24" s="88"/>
      <c r="Y24" s="88"/>
      <c r="Z24" s="88"/>
    </row>
    <row r="25" spans="1:26" ht="15" customHeight="1">
      <c r="A25" s="88"/>
      <c r="B25" s="88"/>
      <c r="C25" s="88"/>
      <c r="D25" s="88"/>
      <c r="E25" s="88"/>
      <c r="F25" s="88"/>
      <c r="G25" s="88"/>
      <c r="H25" s="88"/>
      <c r="I25" s="88"/>
      <c r="J25" s="88"/>
      <c r="K25" s="88"/>
      <c r="L25" s="88"/>
      <c r="M25" s="88"/>
      <c r="N25" s="88"/>
      <c r="O25" s="88"/>
      <c r="P25" s="88"/>
      <c r="Q25" s="88"/>
      <c r="R25" s="117" t="s">
        <v>133</v>
      </c>
      <c r="S25" s="117">
        <f>C16</f>
        <v>63</v>
      </c>
      <c r="T25" s="117"/>
      <c r="U25" s="88"/>
      <c r="V25" s="88"/>
      <c r="W25" s="88"/>
      <c r="X25" s="88"/>
      <c r="Y25" s="88"/>
      <c r="Z25" s="88"/>
    </row>
    <row r="26" spans="1:26" ht="27.75" customHeight="1">
      <c r="A26" s="88"/>
      <c r="B26" s="263" t="s">
        <v>695</v>
      </c>
      <c r="C26" s="264"/>
      <c r="D26" s="265"/>
      <c r="E26" s="264"/>
      <c r="F26" s="264"/>
      <c r="G26" s="88"/>
      <c r="H26" s="263" t="s">
        <v>696</v>
      </c>
      <c r="I26" s="264"/>
      <c r="J26" s="265"/>
      <c r="K26" s="264"/>
      <c r="L26" s="264"/>
      <c r="M26" s="88"/>
      <c r="N26" s="88"/>
      <c r="O26" s="88"/>
      <c r="P26" s="88"/>
      <c r="Q26" s="88"/>
      <c r="R26" s="117"/>
      <c r="S26" s="117"/>
      <c r="T26" s="117"/>
      <c r="U26" s="88"/>
      <c r="V26" s="88"/>
      <c r="W26" s="88"/>
      <c r="X26" s="88"/>
      <c r="Y26" s="88"/>
      <c r="Z26" s="88"/>
    </row>
    <row r="27" spans="1:26" ht="20.25" customHeight="1">
      <c r="A27" s="88"/>
      <c r="B27" s="93" t="s">
        <v>697</v>
      </c>
      <c r="C27" s="91" t="s">
        <v>698</v>
      </c>
      <c r="D27" s="88"/>
      <c r="E27" s="93" t="s">
        <v>699</v>
      </c>
      <c r="F27" s="93" t="s">
        <v>677</v>
      </c>
      <c r="G27" s="88"/>
      <c r="H27" s="91" t="s">
        <v>700</v>
      </c>
      <c r="I27" s="116"/>
      <c r="J27" s="88"/>
      <c r="K27" s="93" t="s">
        <v>19</v>
      </c>
      <c r="L27" s="92" t="s">
        <v>701</v>
      </c>
      <c r="M27" s="88"/>
      <c r="N27" s="88"/>
      <c r="O27" s="88"/>
      <c r="P27" s="88"/>
      <c r="Q27" s="88"/>
      <c r="R27" s="117" t="s">
        <v>31</v>
      </c>
      <c r="S27" s="117">
        <f>C12</f>
        <v>126</v>
      </c>
      <c r="T27" s="117"/>
      <c r="U27" s="88"/>
      <c r="V27" s="88"/>
      <c r="W27" s="88"/>
      <c r="X27" s="88"/>
      <c r="Y27" s="88"/>
      <c r="Z27" s="88"/>
    </row>
    <row r="28" spans="1:26" ht="20.25" customHeight="1">
      <c r="A28" s="88"/>
      <c r="B28" s="129">
        <v>1</v>
      </c>
      <c r="C28" s="205" t="str">
        <f t="shared" ref="C28:C37" si="0">IFERROR(INDEX($R$1:$R$17,MATCH(B28,$T$1:$T$17,0)),"")</f>
        <v>Ilse Heijnen</v>
      </c>
      <c r="D28" s="88"/>
      <c r="E28" s="96">
        <f t="shared" ref="E28:E37" si="1">IFERROR(INDEX($S$1:$S$17,MATCH(B28,$T$1:$T$17,0)),"")</f>
        <v>52</v>
      </c>
      <c r="F28" s="239">
        <f>IFERROR(E28/COUNTIFS(Tracker!A5:A356,"&lt;&gt;",Tracker!L5:L356,"&lt;&gt;"),"")</f>
        <v>0.2613065326633166</v>
      </c>
      <c r="G28" s="88"/>
      <c r="H28" s="135" t="s">
        <v>702</v>
      </c>
      <c r="I28" s="90"/>
      <c r="J28" s="88"/>
      <c r="K28" s="238">
        <f>COUNTIFS(Tracker!B5:B356,"&lt;&gt;",Tracker!L5:L356,"&lt;&gt;")</f>
        <v>48</v>
      </c>
      <c r="L28" s="109" t="str">
        <f t="shared" ref="L28:L34" si="2">REPT("█",IFERROR(ROUND(K28/MAX($K$28:$K$34)*15,0),0))</f>
        <v>██████████</v>
      </c>
      <c r="M28" s="88"/>
      <c r="N28" s="88"/>
      <c r="O28" s="88"/>
      <c r="P28" s="88"/>
      <c r="Q28" s="88"/>
      <c r="R28" s="117" t="s">
        <v>331</v>
      </c>
      <c r="S28" s="117">
        <f>C13</f>
        <v>1</v>
      </c>
      <c r="T28" s="117"/>
      <c r="U28" s="88"/>
      <c r="V28" s="88"/>
      <c r="W28" s="88"/>
      <c r="X28" s="88"/>
      <c r="Y28" s="88"/>
      <c r="Z28" s="88"/>
    </row>
    <row r="29" spans="1:26" ht="20.25" customHeight="1">
      <c r="A29" s="88"/>
      <c r="B29" s="131">
        <v>2</v>
      </c>
      <c r="C29" s="132" t="str">
        <f t="shared" si="0"/>
        <v>Georg Stiegler</v>
      </c>
      <c r="D29" s="148"/>
      <c r="E29" s="133">
        <f t="shared" si="1"/>
        <v>30</v>
      </c>
      <c r="F29" s="241">
        <f>IFERROR(E29/COUNTIFS(Tracker!A5:A356,"&lt;&gt;",Tracker!L5:L356,"&lt;&gt;"),"")</f>
        <v>0.15075376884422109</v>
      </c>
      <c r="G29" s="149"/>
      <c r="H29" s="136" t="s">
        <v>703</v>
      </c>
      <c r="I29" s="150"/>
      <c r="J29" s="134"/>
      <c r="K29" s="237">
        <f>COUNTIFS(Tracker!C5:C356,"&lt;&gt;",Tracker!L5:L356,"&lt;&gt;")</f>
        <v>51</v>
      </c>
      <c r="L29" s="137" t="str">
        <f t="shared" si="2"/>
        <v>███████████</v>
      </c>
      <c r="M29" s="88"/>
      <c r="N29" s="88"/>
      <c r="O29" s="88"/>
      <c r="P29" s="88"/>
      <c r="Q29" s="88"/>
      <c r="R29" s="117" t="s">
        <v>228</v>
      </c>
      <c r="S29" s="117">
        <f>C14</f>
        <v>7</v>
      </c>
      <c r="T29" s="117"/>
      <c r="U29" s="88"/>
      <c r="V29" s="88"/>
      <c r="W29" s="88"/>
      <c r="X29" s="88"/>
      <c r="Y29" s="88"/>
      <c r="Z29" s="88"/>
    </row>
    <row r="30" spans="1:26" ht="20.25" customHeight="1">
      <c r="A30" s="88"/>
      <c r="B30" s="131">
        <v>3</v>
      </c>
      <c r="C30" s="132" t="str">
        <f t="shared" si="0"/>
        <v>Carl-Peter Echtermeijer</v>
      </c>
      <c r="D30" s="134"/>
      <c r="E30" s="133">
        <f t="shared" si="1"/>
        <v>26</v>
      </c>
      <c r="F30" s="241">
        <f>IFERROR(E30/COUNTIFS(Tracker!A5:A356,"&lt;&gt;",Tracker!L5:L356,"&lt;&gt;"),"")</f>
        <v>0.1306532663316583</v>
      </c>
      <c r="G30" s="88"/>
      <c r="H30" s="138" t="s">
        <v>704</v>
      </c>
      <c r="I30" s="150"/>
      <c r="J30" s="134"/>
      <c r="K30" s="237">
        <f>COUNTIFS(Tracker!D5:D356,"&lt;&gt;",Tracker!L5:L356,"&lt;&gt;")</f>
        <v>38</v>
      </c>
      <c r="L30" s="139" t="str">
        <f t="shared" si="2"/>
        <v>████████</v>
      </c>
      <c r="M30" s="88"/>
      <c r="N30" s="88"/>
      <c r="O30" s="88"/>
      <c r="P30" s="88"/>
      <c r="Q30" s="88"/>
      <c r="R30" s="117" t="s">
        <v>356</v>
      </c>
      <c r="S30" s="117">
        <f>C15</f>
        <v>1</v>
      </c>
      <c r="T30" s="117"/>
      <c r="U30" s="88"/>
      <c r="V30" s="88"/>
      <c r="W30" s="88"/>
      <c r="X30" s="88"/>
      <c r="Y30" s="88"/>
      <c r="Z30" s="88"/>
    </row>
    <row r="31" spans="1:26" ht="20.25" customHeight="1">
      <c r="A31" s="88"/>
      <c r="B31" s="131">
        <v>4</v>
      </c>
      <c r="C31" s="132" t="str">
        <f t="shared" si="0"/>
        <v>Wim Westerdijk</v>
      </c>
      <c r="D31" s="134"/>
      <c r="E31" s="133">
        <f t="shared" si="1"/>
        <v>11</v>
      </c>
      <c r="F31" s="241">
        <f>IFERROR(E31/COUNTIFS(Tracker!A5:A356,"&lt;&gt;",Tracker!L5:L356,"&lt;&gt;"),"")</f>
        <v>5.5276381909547742E-2</v>
      </c>
      <c r="G31" s="88"/>
      <c r="H31" s="140" t="s">
        <v>705</v>
      </c>
      <c r="I31" s="150"/>
      <c r="J31" s="134"/>
      <c r="K31" s="237">
        <f>COUNTIFS(Tracker!E5:E356,"&lt;&gt;",Tracker!L5:L356,"&lt;&gt;")</f>
        <v>34</v>
      </c>
      <c r="L31" s="141" t="str">
        <f t="shared" si="2"/>
        <v>███████</v>
      </c>
      <c r="M31" s="88"/>
      <c r="N31" s="88"/>
      <c r="O31" s="88"/>
      <c r="P31" s="88"/>
      <c r="Q31" s="88"/>
      <c r="R31" s="117"/>
      <c r="S31" s="117"/>
      <c r="T31" s="117"/>
      <c r="U31" s="88"/>
      <c r="V31" s="88"/>
      <c r="W31" s="88"/>
      <c r="X31" s="88"/>
      <c r="Y31" s="88"/>
      <c r="Z31" s="88"/>
    </row>
    <row r="32" spans="1:26" ht="20.25" customHeight="1">
      <c r="A32" s="88"/>
      <c r="B32" s="131">
        <v>5</v>
      </c>
      <c r="C32" s="132" t="str">
        <f t="shared" si="0"/>
        <v>Sabine van Tuijn</v>
      </c>
      <c r="D32" s="134"/>
      <c r="E32" s="133">
        <f t="shared" si="1"/>
        <v>11</v>
      </c>
      <c r="F32" s="241">
        <f>IFERROR(E32/COUNTIFS(Tracker!A5:A356,"&lt;&gt;",Tracker!L5:L356,"&lt;&gt;"),"")</f>
        <v>5.5276381909547742E-2</v>
      </c>
      <c r="G32" s="88"/>
      <c r="H32" s="142" t="s">
        <v>706</v>
      </c>
      <c r="I32" s="150"/>
      <c r="J32" s="134"/>
      <c r="K32" s="237">
        <f>COUNTIFS(Tracker!F5:F356,"&lt;&gt;",Tracker!L5:L356,"&lt;&gt;")</f>
        <v>2</v>
      </c>
      <c r="L32" s="143" t="str">
        <f t="shared" si="2"/>
        <v/>
      </c>
      <c r="M32" s="88"/>
      <c r="N32" s="88"/>
      <c r="O32" s="88"/>
      <c r="P32" s="88"/>
      <c r="Q32" s="88"/>
      <c r="R32" s="117" t="s">
        <v>133</v>
      </c>
      <c r="S32" s="117">
        <f>C16</f>
        <v>63</v>
      </c>
      <c r="T32" s="117"/>
      <c r="U32" s="88"/>
      <c r="V32" s="88"/>
      <c r="W32" s="88"/>
      <c r="X32" s="88"/>
      <c r="Y32" s="88"/>
      <c r="Z32" s="88"/>
    </row>
    <row r="33" spans="1:26" ht="20.25" customHeight="1">
      <c r="A33" s="88"/>
      <c r="B33" s="131">
        <v>6</v>
      </c>
      <c r="C33" s="132" t="str">
        <f t="shared" si="0"/>
        <v>Phyllis Muschalik</v>
      </c>
      <c r="D33" s="134"/>
      <c r="E33" s="133">
        <f t="shared" si="1"/>
        <v>9</v>
      </c>
      <c r="F33" s="241">
        <f>IFERROR(E33/COUNTIFS(Tracker!A5:A356,"&lt;&gt;",Tracker!L5:L356,"&lt;&gt;"),"")</f>
        <v>4.5226130653266333E-2</v>
      </c>
      <c r="G33" s="88"/>
      <c r="H33" s="146" t="s">
        <v>707</v>
      </c>
      <c r="I33" s="150"/>
      <c r="J33" s="134"/>
      <c r="K33" s="237">
        <f>COUNTIFS(Tracker!G5:G356,"&lt;&gt;",Tracker!L5:L356,"&lt;&gt;")</f>
        <v>32</v>
      </c>
      <c r="L33" s="147" t="str">
        <f t="shared" si="2"/>
        <v>███████</v>
      </c>
      <c r="M33" s="88"/>
      <c r="N33" s="88"/>
      <c r="O33" s="88"/>
      <c r="P33" s="88"/>
      <c r="Q33" s="88"/>
      <c r="R33" s="117"/>
      <c r="S33" s="117"/>
      <c r="T33" s="117"/>
      <c r="U33" s="88"/>
      <c r="V33" s="88"/>
      <c r="W33" s="88"/>
      <c r="X33" s="88"/>
      <c r="Y33" s="88"/>
      <c r="Z33" s="88"/>
    </row>
    <row r="34" spans="1:26" ht="20.25" customHeight="1">
      <c r="A34" s="88"/>
      <c r="B34" s="131">
        <v>7</v>
      </c>
      <c r="C34" s="132" t="str">
        <f t="shared" si="0"/>
        <v>Matthias Hauer</v>
      </c>
      <c r="D34" s="134"/>
      <c r="E34" s="133">
        <f t="shared" si="1"/>
        <v>8</v>
      </c>
      <c r="F34" s="241">
        <f>IFERROR(E34/COUNTIFS(Tracker!A5:A356,"&lt;&gt;",Tracker!L5:L356,"&lt;&gt;"),"")</f>
        <v>4.0201005025125629E-2</v>
      </c>
      <c r="G34" s="88"/>
      <c r="H34" s="182" t="s">
        <v>708</v>
      </c>
      <c r="I34" s="150"/>
      <c r="J34" s="134"/>
      <c r="K34" s="237">
        <f>COUNTIFS(Tracker!H5:H356,"&lt;&gt;",Tracker!L5:L356,"&lt;&gt;")</f>
        <v>71</v>
      </c>
      <c r="L34" s="183" t="str">
        <f t="shared" si="2"/>
        <v>███████████████</v>
      </c>
      <c r="M34" s="88"/>
      <c r="N34" s="88"/>
      <c r="O34" s="88"/>
      <c r="P34" s="88"/>
      <c r="Q34" s="88"/>
      <c r="R34" s="117" t="s">
        <v>709</v>
      </c>
      <c r="S34" s="117">
        <f t="shared" ref="S34:S40" si="3">K28</f>
        <v>48</v>
      </c>
      <c r="T34" s="117"/>
      <c r="U34" s="88"/>
      <c r="V34" s="88"/>
      <c r="W34" s="88"/>
      <c r="X34" s="88"/>
      <c r="Y34" s="88"/>
      <c r="Z34" s="88"/>
    </row>
    <row r="35" spans="1:26" ht="20.25" customHeight="1">
      <c r="A35" s="88"/>
      <c r="B35" s="131">
        <v>8</v>
      </c>
      <c r="C35" s="132" t="str">
        <f t="shared" si="0"/>
        <v>Daniel Hell</v>
      </c>
      <c r="D35" s="134"/>
      <c r="E35" s="133">
        <f t="shared" si="1"/>
        <v>6</v>
      </c>
      <c r="F35" s="241">
        <f>IFERROR(E35/COUNTIFS(Tracker!A5:A356,"&lt;&gt;",Tracker!L5:L356,"&lt;&gt;"),"")</f>
        <v>3.015075376884422E-2</v>
      </c>
      <c r="G35" s="88"/>
      <c r="H35" s="144"/>
      <c r="I35" s="151"/>
      <c r="J35" s="130"/>
      <c r="K35" s="163"/>
      <c r="L35" s="145"/>
      <c r="M35" s="88"/>
      <c r="N35" s="88"/>
      <c r="O35" s="88"/>
      <c r="P35" s="88"/>
      <c r="Q35" s="88"/>
      <c r="R35" s="117" t="s">
        <v>710</v>
      </c>
      <c r="S35" s="117">
        <f t="shared" si="3"/>
        <v>51</v>
      </c>
      <c r="T35" s="117"/>
      <c r="U35" s="88"/>
      <c r="V35" s="88"/>
      <c r="W35" s="88"/>
      <c r="X35" s="88"/>
      <c r="Y35" s="88"/>
      <c r="Z35" s="88"/>
    </row>
    <row r="36" spans="1:26" ht="20.25" customHeight="1">
      <c r="A36" s="88"/>
      <c r="B36" s="131">
        <v>9</v>
      </c>
      <c r="C36" s="132" t="str">
        <f t="shared" si="0"/>
        <v>Karin Wagemans</v>
      </c>
      <c r="D36" s="134"/>
      <c r="E36" s="133">
        <f t="shared" si="1"/>
        <v>4</v>
      </c>
      <c r="F36" s="241">
        <f>IFERROR(E36/COUNTIFS(Tracker!A5:A356,"&lt;&gt;",Tracker!L5:L356,"&lt;&gt;"),"")</f>
        <v>2.0100502512562814E-2</v>
      </c>
      <c r="G36" s="88"/>
      <c r="H36" s="88"/>
      <c r="I36" s="88"/>
      <c r="J36" s="88"/>
      <c r="K36" s="88"/>
      <c r="L36" s="88"/>
      <c r="M36" s="88"/>
      <c r="N36" s="88"/>
      <c r="O36" s="88"/>
      <c r="P36" s="88"/>
      <c r="Q36" s="88"/>
      <c r="R36" s="117" t="s">
        <v>711</v>
      </c>
      <c r="S36" s="117">
        <f t="shared" si="3"/>
        <v>38</v>
      </c>
      <c r="T36" s="117"/>
      <c r="U36" s="88"/>
      <c r="V36" s="88"/>
      <c r="W36" s="88"/>
      <c r="X36" s="88"/>
      <c r="Y36" s="88"/>
      <c r="Z36" s="88"/>
    </row>
    <row r="37" spans="1:26" ht="20.25" customHeight="1">
      <c r="A37" s="88"/>
      <c r="B37" s="131">
        <v>10</v>
      </c>
      <c r="C37" s="132" t="str">
        <f t="shared" si="0"/>
        <v>Monique van der Stap</v>
      </c>
      <c r="D37" s="134"/>
      <c r="E37" s="133">
        <f t="shared" si="1"/>
        <v>4</v>
      </c>
      <c r="F37" s="241">
        <f>IFERROR(E37/COUNTIFS(Tracker!A5:A356,"&lt;&gt;",Tracker!L5:L356,"&lt;&gt;"),"")</f>
        <v>2.0100502512562814E-2</v>
      </c>
      <c r="G37" s="88"/>
      <c r="H37" s="88"/>
      <c r="I37" s="88"/>
      <c r="J37" s="88"/>
      <c r="K37" s="88"/>
      <c r="L37" s="88"/>
      <c r="M37" s="88"/>
      <c r="N37" s="88"/>
      <c r="O37" s="88"/>
      <c r="P37" s="88"/>
      <c r="Q37" s="88"/>
      <c r="R37" s="117" t="s">
        <v>15</v>
      </c>
      <c r="S37" s="117">
        <f t="shared" si="3"/>
        <v>34</v>
      </c>
      <c r="T37" s="117"/>
      <c r="U37" s="88"/>
      <c r="V37" s="88"/>
      <c r="W37" s="88"/>
      <c r="X37" s="88"/>
      <c r="Y37" s="88"/>
      <c r="Z37" s="88"/>
    </row>
    <row r="38" spans="1:26" ht="20.25" customHeight="1">
      <c r="A38" s="164"/>
      <c r="B38" s="164"/>
      <c r="C38" s="164"/>
      <c r="D38" s="164"/>
      <c r="E38" s="164"/>
      <c r="F38" s="164"/>
      <c r="G38" s="164"/>
      <c r="H38" s="164"/>
      <c r="I38" s="88"/>
      <c r="J38" s="88"/>
      <c r="K38" s="88"/>
      <c r="L38" s="88"/>
      <c r="M38" s="88"/>
      <c r="N38" s="88"/>
      <c r="O38" s="88"/>
      <c r="P38" s="88"/>
      <c r="Q38" s="88"/>
      <c r="R38" s="117" t="s">
        <v>16</v>
      </c>
      <c r="S38" s="117">
        <f t="shared" si="3"/>
        <v>2</v>
      </c>
      <c r="T38" s="117"/>
      <c r="U38" s="88"/>
      <c r="V38" s="88"/>
      <c r="W38" s="88"/>
      <c r="X38" s="88"/>
      <c r="Y38" s="88"/>
      <c r="Z38" s="88"/>
    </row>
    <row r="39" spans="1:26" ht="14.25" customHeight="1">
      <c r="A39" s="164"/>
      <c r="B39" s="164"/>
      <c r="C39" s="164"/>
      <c r="D39" s="164"/>
      <c r="E39" s="164"/>
      <c r="F39" s="164"/>
      <c r="G39" s="164"/>
      <c r="H39" s="164"/>
      <c r="I39" s="88"/>
      <c r="J39" s="88"/>
      <c r="K39" s="88"/>
      <c r="L39" s="88"/>
      <c r="M39" s="88"/>
      <c r="N39" s="88"/>
      <c r="O39" s="88"/>
      <c r="P39" s="88"/>
      <c r="Q39" s="88"/>
      <c r="R39" t="s">
        <v>17</v>
      </c>
      <c r="S39" s="117">
        <f t="shared" si="3"/>
        <v>32</v>
      </c>
      <c r="T39" s="117"/>
      <c r="U39" s="88"/>
      <c r="V39" s="88"/>
      <c r="W39" s="88"/>
      <c r="X39" s="88"/>
      <c r="Y39" s="88"/>
      <c r="Z39" s="88"/>
    </row>
    <row r="40" spans="1:26" ht="27.75" customHeight="1">
      <c r="A40" s="88"/>
      <c r="B40" s="263" t="s">
        <v>712</v>
      </c>
      <c r="C40" s="264"/>
      <c r="D40" s="265"/>
      <c r="E40" s="264"/>
      <c r="F40" s="264"/>
      <c r="G40" s="88"/>
      <c r="H40" s="263" t="s">
        <v>713</v>
      </c>
      <c r="I40" s="264"/>
      <c r="J40" s="265"/>
      <c r="K40" s="264"/>
      <c r="L40" s="264"/>
      <c r="M40" s="88"/>
      <c r="N40" s="88"/>
      <c r="O40" s="88"/>
      <c r="P40" s="88"/>
      <c r="Q40" s="88"/>
      <c r="R40" t="s">
        <v>18</v>
      </c>
      <c r="S40">
        <f t="shared" si="3"/>
        <v>71</v>
      </c>
      <c r="T40" s="117"/>
      <c r="U40" s="88"/>
      <c r="V40" s="88"/>
      <c r="W40" s="88"/>
      <c r="X40" s="88"/>
      <c r="Y40" s="88"/>
      <c r="Z40" s="88"/>
    </row>
    <row r="41" spans="1:26" ht="24" customHeight="1">
      <c r="A41" s="88"/>
      <c r="B41" s="88"/>
      <c r="C41" s="88"/>
      <c r="D41" s="88"/>
      <c r="E41" s="88"/>
      <c r="F41" s="88"/>
      <c r="G41" s="88"/>
      <c r="H41" s="88"/>
      <c r="I41" s="88"/>
      <c r="J41" s="88"/>
      <c r="K41" s="88"/>
      <c r="L41" s="88"/>
      <c r="M41" s="88"/>
      <c r="N41" s="88"/>
      <c r="O41" s="88"/>
      <c r="P41" s="88"/>
      <c r="Q41" s="88"/>
      <c r="R41"/>
      <c r="S41"/>
      <c r="T41" s="117"/>
      <c r="U41" s="88"/>
      <c r="V41" s="88"/>
      <c r="W41" s="88"/>
      <c r="X41" s="88"/>
      <c r="Y41" s="88"/>
      <c r="Z41" s="88"/>
    </row>
    <row r="42" spans="1:26" ht="24" customHeight="1">
      <c r="A42" s="88"/>
      <c r="B42" s="88"/>
      <c r="C42" s="88"/>
      <c r="D42" s="88"/>
      <c r="E42" s="88"/>
      <c r="F42" s="88"/>
      <c r="G42" s="88"/>
      <c r="H42" s="88"/>
      <c r="I42" s="88"/>
      <c r="J42" s="88"/>
      <c r="K42" s="88"/>
      <c r="L42" s="88"/>
      <c r="M42" s="88"/>
      <c r="N42" s="88"/>
      <c r="O42" s="88"/>
      <c r="P42" s="88"/>
      <c r="Q42" s="88"/>
      <c r="R42" s="117"/>
      <c r="S42" s="117"/>
      <c r="T42" s="117"/>
      <c r="U42" s="88"/>
      <c r="V42" s="88"/>
      <c r="W42" s="88"/>
      <c r="X42" s="88"/>
      <c r="Y42" s="88"/>
      <c r="Z42" s="88"/>
    </row>
    <row r="43" spans="1:26" ht="24" customHeight="1">
      <c r="A43" s="88"/>
      <c r="B43" s="88"/>
      <c r="C43" s="88"/>
      <c r="D43" s="88"/>
      <c r="E43" s="88"/>
      <c r="F43" s="88"/>
      <c r="G43" s="88"/>
      <c r="H43" s="88"/>
      <c r="I43" s="88"/>
      <c r="J43" s="88"/>
      <c r="K43" s="88"/>
      <c r="L43" s="88"/>
      <c r="M43" s="88"/>
      <c r="N43" s="88"/>
      <c r="O43" s="88"/>
      <c r="P43" s="88"/>
      <c r="Q43" s="88"/>
      <c r="R43" s="117"/>
      <c r="S43" s="117"/>
      <c r="T43" s="117"/>
      <c r="U43" s="88"/>
      <c r="V43" s="88"/>
      <c r="W43" s="88"/>
      <c r="X43" s="88"/>
      <c r="Y43" s="88"/>
      <c r="Z43" s="88"/>
    </row>
    <row r="44" spans="1:26" ht="24" customHeight="1">
      <c r="A44" s="88"/>
      <c r="B44" s="88"/>
      <c r="C44" s="88"/>
      <c r="D44" s="88"/>
      <c r="E44" s="88"/>
      <c r="F44" s="88"/>
      <c r="G44" s="88"/>
      <c r="H44" s="88"/>
      <c r="I44" s="88"/>
      <c r="J44" s="88"/>
      <c r="K44" s="88"/>
      <c r="L44" s="88"/>
      <c r="M44" s="88"/>
      <c r="N44" s="88"/>
      <c r="O44" s="88"/>
      <c r="P44" s="88"/>
      <c r="Q44" s="88"/>
      <c r="R44" s="117"/>
      <c r="S44" s="117"/>
      <c r="T44" s="117"/>
      <c r="U44" s="88"/>
      <c r="V44" s="88"/>
      <c r="W44" s="88"/>
      <c r="X44" s="88"/>
      <c r="Y44" s="88"/>
      <c r="Z44" s="88"/>
    </row>
    <row r="45" spans="1:26" ht="24" customHeight="1">
      <c r="A45" s="88"/>
      <c r="B45" s="88"/>
      <c r="C45" s="88"/>
      <c r="D45" s="88"/>
      <c r="E45" s="88"/>
      <c r="F45" s="88"/>
      <c r="G45" s="88"/>
      <c r="H45" s="88"/>
      <c r="I45" s="88"/>
      <c r="J45" s="88"/>
      <c r="K45" s="88"/>
      <c r="L45" s="88"/>
      <c r="M45" s="88"/>
      <c r="N45" s="88"/>
      <c r="O45" s="88"/>
      <c r="P45" s="88"/>
      <c r="Q45" s="88"/>
      <c r="R45" s="117"/>
      <c r="S45" s="117"/>
      <c r="T45" s="117"/>
      <c r="U45" s="88"/>
      <c r="V45" s="88"/>
      <c r="W45" s="88"/>
      <c r="X45" s="88"/>
      <c r="Y45" s="88"/>
      <c r="Z45" s="88"/>
    </row>
    <row r="46" spans="1:26" ht="24" customHeight="1">
      <c r="A46" s="88"/>
      <c r="B46" s="88"/>
      <c r="C46" s="88"/>
      <c r="D46" s="88"/>
      <c r="E46" s="88"/>
      <c r="F46" s="88"/>
      <c r="G46" s="88"/>
      <c r="H46" s="88"/>
      <c r="I46" s="88"/>
      <c r="J46" s="88"/>
      <c r="K46" s="88"/>
      <c r="L46" s="88"/>
      <c r="M46" s="88"/>
      <c r="N46" s="88"/>
      <c r="O46" s="88"/>
      <c r="P46" s="88"/>
      <c r="Q46" s="88"/>
      <c r="R46" s="117"/>
      <c r="S46" s="117"/>
      <c r="T46" s="117"/>
      <c r="U46" s="88"/>
      <c r="V46" s="88"/>
      <c r="W46" s="88"/>
      <c r="X46" s="88"/>
      <c r="Y46" s="88"/>
      <c r="Z46" s="88"/>
    </row>
    <row r="47" spans="1:26" ht="24" customHeight="1">
      <c r="A47" s="88"/>
      <c r="B47" s="88"/>
      <c r="C47" s="88"/>
      <c r="D47" s="88"/>
      <c r="E47" s="88"/>
      <c r="F47" s="88"/>
      <c r="G47" s="88"/>
      <c r="H47" s="88"/>
      <c r="I47" s="88"/>
      <c r="J47" s="88"/>
      <c r="K47" s="88"/>
      <c r="L47" s="88"/>
      <c r="M47" s="88"/>
      <c r="N47" s="88"/>
      <c r="O47" s="88"/>
      <c r="P47" s="88"/>
      <c r="Q47" s="88"/>
      <c r="R47" s="117"/>
      <c r="S47" s="117"/>
      <c r="T47" s="117"/>
      <c r="U47" s="88"/>
      <c r="V47" s="88"/>
      <c r="W47" s="88"/>
      <c r="X47" s="88"/>
      <c r="Y47" s="88"/>
      <c r="Z47" s="88"/>
    </row>
    <row r="48" spans="1:26" ht="24" customHeight="1">
      <c r="A48" s="88"/>
      <c r="B48" s="88"/>
      <c r="C48" s="88"/>
      <c r="D48" s="88"/>
      <c r="E48" s="88"/>
      <c r="F48" s="88"/>
      <c r="G48" s="88"/>
      <c r="H48" s="88"/>
      <c r="I48" s="88"/>
      <c r="J48" s="88"/>
      <c r="K48" s="88"/>
      <c r="L48" s="88"/>
      <c r="M48" s="88"/>
      <c r="N48" s="88"/>
      <c r="O48" s="88"/>
      <c r="P48" s="88"/>
      <c r="Q48" s="88"/>
      <c r="R48" s="117"/>
      <c r="S48" s="117"/>
      <c r="T48" s="117"/>
      <c r="U48" s="88"/>
      <c r="V48" s="88"/>
      <c r="W48" s="88"/>
      <c r="X48" s="88"/>
      <c r="Y48" s="88"/>
      <c r="Z48" s="88"/>
    </row>
    <row r="49" spans="1:26" ht="24" customHeight="1">
      <c r="A49" s="88"/>
      <c r="B49" s="88"/>
      <c r="C49" s="88"/>
      <c r="D49" s="88"/>
      <c r="E49" s="88"/>
      <c r="F49" s="88"/>
      <c r="G49" s="88"/>
      <c r="H49" s="88"/>
      <c r="I49" s="88"/>
      <c r="J49" s="88"/>
      <c r="K49" s="88"/>
      <c r="L49" s="88"/>
      <c r="M49" s="88"/>
      <c r="N49" s="88"/>
      <c r="O49" s="88"/>
      <c r="P49" s="88"/>
      <c r="Q49" s="88"/>
      <c r="R49" s="117"/>
      <c r="S49" s="117"/>
      <c r="T49" s="117"/>
      <c r="U49" s="88"/>
      <c r="V49" s="88"/>
      <c r="W49" s="88"/>
      <c r="X49" s="88"/>
      <c r="Y49" s="88"/>
      <c r="Z49" s="88"/>
    </row>
    <row r="50" spans="1:26" ht="24" customHeight="1">
      <c r="A50" s="88"/>
      <c r="B50" s="88"/>
      <c r="C50" s="88"/>
      <c r="D50" s="88"/>
      <c r="E50" s="88"/>
      <c r="F50" s="88"/>
      <c r="G50" s="88"/>
      <c r="H50" s="88"/>
      <c r="I50" s="88"/>
      <c r="J50" s="88"/>
      <c r="K50" s="88"/>
      <c r="L50" s="88"/>
      <c r="M50" s="88"/>
      <c r="N50" s="88"/>
      <c r="O50" s="88"/>
      <c r="P50" s="88"/>
      <c r="Q50" s="88"/>
      <c r="R50" s="117"/>
      <c r="S50" s="117"/>
      <c r="T50" s="117"/>
      <c r="U50" s="88"/>
      <c r="V50" s="88"/>
      <c r="W50" s="88"/>
      <c r="X50" s="88"/>
      <c r="Y50" s="88"/>
      <c r="Z50" s="88"/>
    </row>
    <row r="51" spans="1:26" ht="24" customHeight="1">
      <c r="A51" s="88"/>
      <c r="B51" s="88"/>
      <c r="C51" s="88"/>
      <c r="D51" s="88"/>
      <c r="E51" s="88"/>
      <c r="F51" s="88"/>
      <c r="G51" s="88"/>
      <c r="H51" s="88"/>
      <c r="I51" s="88"/>
      <c r="J51" s="88"/>
      <c r="K51" s="88"/>
      <c r="L51" s="88"/>
      <c r="M51" s="88"/>
      <c r="N51" s="88"/>
      <c r="O51" s="88"/>
      <c r="P51" s="88"/>
      <c r="Q51" s="88"/>
      <c r="R51" s="117"/>
      <c r="S51" s="117"/>
      <c r="T51" s="117"/>
      <c r="U51" s="88"/>
      <c r="V51" s="88"/>
      <c r="W51" s="88"/>
      <c r="X51" s="88"/>
      <c r="Y51" s="88"/>
      <c r="Z51" s="88"/>
    </row>
    <row r="52" spans="1:26" ht="24" customHeight="1">
      <c r="A52" s="88"/>
      <c r="B52" s="88"/>
      <c r="C52" s="88"/>
      <c r="D52" s="88"/>
      <c r="E52" s="88"/>
      <c r="F52" s="88"/>
      <c r="G52" s="88"/>
      <c r="H52" s="88"/>
      <c r="I52" s="88"/>
      <c r="J52" s="88"/>
      <c r="K52" s="88"/>
      <c r="L52" s="88"/>
      <c r="M52" s="88"/>
      <c r="N52" s="88"/>
      <c r="O52" s="88"/>
      <c r="P52" s="88"/>
      <c r="Q52" s="88"/>
      <c r="R52" s="117"/>
      <c r="S52" s="117"/>
      <c r="T52" s="117"/>
      <c r="U52" s="88"/>
      <c r="V52" s="88"/>
      <c r="W52" s="88"/>
      <c r="X52" s="88"/>
      <c r="Y52" s="88"/>
      <c r="Z52" s="88"/>
    </row>
    <row r="53" spans="1:26" ht="24" customHeight="1">
      <c r="A53" s="88"/>
      <c r="B53" s="117"/>
      <c r="C53" s="117"/>
      <c r="D53" s="117"/>
      <c r="E53" s="117"/>
      <c r="F53" s="117"/>
      <c r="G53" s="88"/>
      <c r="H53" s="117"/>
      <c r="I53" s="117"/>
      <c r="J53" s="117"/>
      <c r="K53" s="117"/>
      <c r="L53" s="88"/>
      <c r="M53" s="88"/>
      <c r="N53" s="88"/>
      <c r="O53" s="88"/>
      <c r="P53" s="88"/>
      <c r="Q53" s="88"/>
      <c r="R53" s="117"/>
      <c r="S53" s="117"/>
      <c r="T53" s="117"/>
      <c r="U53" s="88"/>
      <c r="V53" s="88"/>
      <c r="W53" s="88"/>
      <c r="X53" s="88"/>
      <c r="Y53" s="88"/>
      <c r="Z53" s="88"/>
    </row>
    <row r="54" spans="1:26" ht="30" customHeight="1">
      <c r="A54" s="88"/>
      <c r="B54" s="164"/>
      <c r="C54" s="164"/>
      <c r="D54" s="164"/>
      <c r="E54" s="164"/>
      <c r="F54" s="164"/>
      <c r="G54" s="164"/>
      <c r="H54" s="164"/>
      <c r="I54" s="213"/>
      <c r="J54" s="213"/>
      <c r="K54" s="213"/>
      <c r="L54" s="213"/>
      <c r="M54" s="88"/>
      <c r="N54" s="88"/>
      <c r="O54" s="88"/>
      <c r="P54" s="88"/>
      <c r="Q54" s="88"/>
      <c r="R54" s="117"/>
      <c r="S54" s="117"/>
      <c r="T54" s="117"/>
      <c r="U54" s="88"/>
      <c r="V54" s="88"/>
      <c r="W54" s="88"/>
      <c r="X54" s="88"/>
      <c r="Y54" s="88"/>
      <c r="Z54" s="88"/>
    </row>
    <row r="55" spans="1:26" ht="17.45">
      <c r="A55" s="88"/>
      <c r="B55" s="214" t="s">
        <v>714</v>
      </c>
      <c r="C55" s="164"/>
      <c r="D55" s="164"/>
      <c r="E55" s="214" t="s">
        <v>715</v>
      </c>
      <c r="F55" s="164"/>
      <c r="G55" s="164"/>
      <c r="H55" s="164"/>
      <c r="I55" s="117"/>
      <c r="J55" s="117"/>
      <c r="K55" s="117"/>
      <c r="L55" s="88"/>
      <c r="M55" s="88"/>
      <c r="N55" s="88"/>
      <c r="O55" s="88"/>
      <c r="P55" s="88"/>
      <c r="Q55" s="88"/>
      <c r="R55" s="117"/>
      <c r="S55" s="117"/>
      <c r="T55" s="117"/>
      <c r="U55" s="88"/>
      <c r="V55" s="88"/>
      <c r="W55" s="88"/>
      <c r="X55" s="88"/>
      <c r="Y55" s="88"/>
      <c r="Z55" s="88"/>
    </row>
    <row r="56" spans="1:26" ht="15">
      <c r="A56" s="88"/>
      <c r="B56" s="93" t="s">
        <v>716</v>
      </c>
      <c r="C56" s="93" t="s">
        <v>717</v>
      </c>
      <c r="D56" s="93" t="s">
        <v>718</v>
      </c>
      <c r="E56" s="93" t="s">
        <v>716</v>
      </c>
      <c r="F56" s="93" t="s">
        <v>717</v>
      </c>
      <c r="G56" s="93" t="s">
        <v>718</v>
      </c>
      <c r="H56" s="164"/>
      <c r="I56" s="117"/>
      <c r="J56" s="117"/>
      <c r="K56" s="117"/>
      <c r="L56" s="88"/>
      <c r="M56" s="88"/>
      <c r="N56" s="88"/>
      <c r="O56" s="88"/>
      <c r="P56" s="88"/>
      <c r="Q56" s="88"/>
      <c r="R56" s="117"/>
      <c r="S56" s="117"/>
      <c r="T56" s="117"/>
      <c r="U56" s="88"/>
      <c r="V56" s="88"/>
      <c r="W56" s="88"/>
      <c r="X56" s="88"/>
      <c r="Y56" s="88"/>
      <c r="Z56" s="88"/>
    </row>
    <row r="57" spans="1:26" ht="15">
      <c r="A57" s="88"/>
      <c r="B57" s="211" cm="1">
        <f t="array" ref="B57">IFERROR(EOMONTH(SMALL(IF(Tracker!P5:P356&gt;0,Tracker!P5:P356),1),-1)+1,"")</f>
        <v>46082</v>
      </c>
      <c r="C57" s="212" cm="1">
        <f t="array" aca="1" ref="C57" ca="1">IF(OR($B57="",$B57&gt;EOMONTH(TODAY(),0)),"",SUMPRODUCT((Tracker!$P$5:$P$356&gt;=$B57)*(Tracker!$P$5:$P$356&lt;EOMONTH($B57,0)+1)*(Tracker!$A$5:$A$356&lt;&gt;"")))</f>
        <v>8</v>
      </c>
      <c r="D57" s="212" cm="1">
        <f t="array" aca="1" ref="D57" ca="1">IF(OR($B57="",$B57&gt;EOMONTH(TODAY(),0)),"",SUMPRODUCT((Tracker!$P$5:$P$356&gt;=$B57)*(Tracker!$P$5:$P$356&lt;EOMONTH($B57,0)+1)*(Tracker!$I$5:$I$356)))</f>
        <v>29</v>
      </c>
      <c r="E57" s="211">
        <f>$B57</f>
        <v>46082</v>
      </c>
      <c r="F57" s="212" cm="1">
        <f t="array" aca="1" ref="F57" ca="1">IF(OR($E57="",$E57&gt;EOMONTH(TODAY(),0)),"",SUMPRODUCT((Tracker!$N$5:$N$356&gt;=$E57)*(Tracker!$N$5:$N$356&lt;EOMONTH($E57,0)+1)*(Tracker!$L$5:$L$356="Approved")))</f>
        <v>8</v>
      </c>
      <c r="G57" s="212" cm="1">
        <f t="array" aca="1" ref="G57" ca="1">IF(OR($E57="",$E57&gt;EOMONTH(TODAY(),0)),"",SUMPRODUCT((Tracker!$N$5:$N$356&gt;=$E57)*(Tracker!$N$5:$N$356&lt;EOMONTH($E57,0)+1)*(Tracker!$L$5:$L$356="Approved")*(Tracker!$I$5:$I$356)))</f>
        <v>29</v>
      </c>
      <c r="H57" s="164"/>
      <c r="I57" s="88"/>
      <c r="J57" s="88"/>
      <c r="K57" s="88"/>
      <c r="L57" s="88"/>
      <c r="M57" s="88"/>
      <c r="N57" s="88"/>
      <c r="O57" s="88"/>
      <c r="P57" s="88"/>
      <c r="Q57" s="88"/>
      <c r="R57" s="117"/>
      <c r="S57" s="117"/>
      <c r="T57" s="117"/>
      <c r="U57" s="88"/>
      <c r="V57" s="88"/>
      <c r="W57" s="88"/>
      <c r="X57" s="88"/>
      <c r="Y57" s="88"/>
      <c r="Z57" s="88"/>
    </row>
    <row r="58" spans="1:26" ht="15">
      <c r="A58" s="88"/>
      <c r="B58" s="211">
        <f ca="1">IFERROR(IF(OR($B57="",EOMONTH($B57,0)+1&gt;EOMONTH(TODAY(),0)),"",EOMONTH($B57,0)+1),"")</f>
        <v>46113</v>
      </c>
      <c r="C58" s="212" cm="1">
        <f t="array" aca="1" ref="C58" ca="1">IF(OR($B58="",$B58&gt;EOMONTH(TODAY(),0)),"",SUMPRODUCT((Tracker!$P$5:$P$356&gt;=$B58)*(Tracker!$P$5:$P$356&lt;EOMONTH($B58,0)+1)*(Tracker!$A$5:$A$356&lt;&gt;"")))</f>
        <v>26</v>
      </c>
      <c r="D58" s="212" cm="1">
        <f t="array" aca="1" ref="D58" ca="1">IF(OR($B58="",$B58&gt;EOMONTH(TODAY(),0)),"",SUMPRODUCT((Tracker!$P$5:$P$356&gt;=$B58)*(Tracker!$P$5:$P$356&lt;EOMONTH($B58,0)+1)*(Tracker!$I$5:$I$356)))</f>
        <v>124</v>
      </c>
      <c r="E58" s="211">
        <f ca="1">$B58</f>
        <v>46113</v>
      </c>
      <c r="F58" s="212" cm="1">
        <f t="array" aca="1" ref="F58" ca="1">IF(OR($E58="",$E58&gt;EOMONTH(TODAY(),0)),"",SUMPRODUCT((Tracker!$N$5:$N$356&gt;=$E58)*(Tracker!$N$5:$N$356&lt;EOMONTH($E58,0)+1)*(Tracker!$L$5:$L$356="Approved")))</f>
        <v>42</v>
      </c>
      <c r="G58" s="212" cm="1">
        <f t="array" aca="1" ref="G58" ca="1">IF(OR($E58="",$E58&gt;EOMONTH(TODAY(),0)),"",SUMPRODUCT((Tracker!$N$5:$N$356&gt;=$E58)*(Tracker!$N$5:$N$356&lt;EOMONTH($E58,0)+1)*(Tracker!$L$5:$L$356="Approved")*(Tracker!$I$5:$I$356)))</f>
        <v>175</v>
      </c>
      <c r="H58" s="164"/>
      <c r="I58" s="88"/>
      <c r="J58" s="88"/>
      <c r="K58" s="88"/>
      <c r="L58" s="88"/>
      <c r="M58" s="88"/>
      <c r="N58" s="88"/>
      <c r="O58" s="88"/>
      <c r="P58" s="88"/>
      <c r="Q58" s="88"/>
      <c r="R58" s="117"/>
      <c r="S58" s="117"/>
      <c r="T58" s="117"/>
      <c r="U58" s="88"/>
      <c r="V58" s="88"/>
      <c r="W58" s="88"/>
      <c r="X58" s="88"/>
      <c r="Y58" s="88"/>
      <c r="Z58" s="88"/>
    </row>
    <row r="59" spans="1:26" ht="15">
      <c r="A59" s="88"/>
      <c r="B59" s="211">
        <f t="shared" ref="B59:B68" ca="1" si="4">IFERROR(IF(OR($B58="",EOMONTH($B58,0)+1&gt;EOMONTH(TODAY(),0)),"",EOMONTH($B58,0)+1),"")</f>
        <v>46143</v>
      </c>
      <c r="C59" s="212" cm="1">
        <f t="array" aca="1" ref="C59" ca="1">IF(OR($B59="",$B59&gt;EOMONTH(TODAY(),0)),"",SUMPRODUCT((Tracker!$P$5:$P$356&gt;=$B59)*(Tracker!$P$5:$P$356&lt;EOMONTH($B59,0)+1)*(Tracker!$A$5:$A$356&lt;&gt;"")))</f>
        <v>34</v>
      </c>
      <c r="D59" s="212" cm="1">
        <f t="array" aca="1" ref="D59" ca="1">IF(OR($B59="",$B59&gt;EOMONTH(TODAY(),0)),"",SUMPRODUCT((Tracker!$P$5:$P$356&gt;=$B59)*(Tracker!$P$5:$P$356&lt;EOMONTH($B59,0)+1)*(Tracker!$I$5:$I$356)))</f>
        <v>216</v>
      </c>
      <c r="E59" s="211">
        <f t="shared" ref="E59:E68" ca="1" si="5">$B59</f>
        <v>46143</v>
      </c>
      <c r="F59" s="212" cm="1">
        <f t="array" aca="1" ref="F59" ca="1">IF(OR($E59="",$E59&gt;EOMONTH(TODAY(),0)),"",SUMPRODUCT((Tracker!$N$5:$N$356&gt;=$E59)*(Tracker!$N$5:$N$356&lt;EOMONTH($E59,0)+1)*(Tracker!$L$5:$L$356="Approved")))</f>
        <v>38</v>
      </c>
      <c r="G59" s="212" cm="1">
        <f t="array" aca="1" ref="G59" ca="1">IF(OR($E59="",$E59&gt;EOMONTH(TODAY(),0)),"",SUMPRODUCT((Tracker!$N$5:$N$356&gt;=$E59)*(Tracker!$N$5:$N$356&lt;EOMONTH($E59,0)+1)*(Tracker!$L$5:$L$356="Approved")*(Tracker!$I$5:$I$356)))</f>
        <v>154</v>
      </c>
      <c r="H59" s="164"/>
      <c r="I59" s="88"/>
      <c r="J59" s="88"/>
      <c r="K59" s="88"/>
      <c r="L59" s="88"/>
      <c r="M59" s="88"/>
      <c r="N59" s="88"/>
      <c r="O59" s="88"/>
      <c r="P59" s="88"/>
      <c r="Q59" s="88"/>
      <c r="R59" s="117"/>
      <c r="S59" s="117"/>
      <c r="T59" s="117"/>
      <c r="U59" s="88"/>
      <c r="V59" s="88"/>
      <c r="W59" s="88"/>
      <c r="X59" s="88"/>
      <c r="Y59" s="88"/>
      <c r="Z59" s="88"/>
    </row>
    <row r="60" spans="1:26" ht="15">
      <c r="A60" s="88"/>
      <c r="B60" s="211">
        <f t="shared" ca="1" si="4"/>
        <v>46174</v>
      </c>
      <c r="C60" s="212" cm="1">
        <f t="array" aca="1" ref="C60" ca="1">IF(OR($B60="",$B60&gt;EOMONTH(TODAY(),0)),"",SUMPRODUCT((Tracker!$P$5:$P$356&gt;=$B60)*(Tracker!$P$5:$P$356&lt;EOMONTH($B60,0)+1)*(Tracker!$A$5:$A$356&lt;&gt;"")))</f>
        <v>12</v>
      </c>
      <c r="D60" s="212" cm="1">
        <f t="array" aca="1" ref="D60" ca="1">IF(OR($B60="",$B60&gt;EOMONTH(TODAY(),0)),"",SUMPRODUCT((Tracker!$P$5:$P$356&gt;=$B60)*(Tracker!$P$5:$P$356&lt;EOMONTH($B60,0)+1)*(Tracker!$I$5:$I$356)))</f>
        <v>92</v>
      </c>
      <c r="E60" s="211">
        <f t="shared" ca="1" si="5"/>
        <v>46174</v>
      </c>
      <c r="F60" s="212" cm="1">
        <f t="array" aca="1" ref="F60" ca="1">IF(OR($E60="",$E60&gt;EOMONTH(TODAY(),0)),"",SUMPRODUCT((Tracker!$N$5:$N$356&gt;=$E60)*(Tracker!$N$5:$N$356&lt;EOMONTH($E60,0)+1)*(Tracker!$L$5:$L$356="Approved")))</f>
        <v>11</v>
      </c>
      <c r="G60" s="212" cm="1">
        <f t="array" aca="1" ref="G60" ca="1">IF(OR($E60="",$E60&gt;EOMONTH(TODAY(),0)),"",SUMPRODUCT((Tracker!$N$5:$N$356&gt;=$E60)*(Tracker!$N$5:$N$356&lt;EOMONTH($E60,0)+1)*(Tracker!$L$5:$L$356="Approved")*(Tracker!$I$5:$I$356)))</f>
        <v>88</v>
      </c>
      <c r="H60" s="164"/>
      <c r="I60" s="88"/>
      <c r="J60" s="88"/>
      <c r="K60" s="88"/>
      <c r="L60" s="88"/>
      <c r="M60" s="88"/>
      <c r="N60" s="88"/>
      <c r="O60" s="88"/>
      <c r="P60" s="88"/>
      <c r="Q60" s="88"/>
      <c r="R60" s="117"/>
      <c r="S60" s="117"/>
      <c r="T60" s="117"/>
      <c r="U60" s="88"/>
      <c r="V60" s="88"/>
      <c r="W60" s="88"/>
      <c r="X60" s="88"/>
      <c r="Y60" s="88"/>
      <c r="Z60" s="88"/>
    </row>
    <row r="61" spans="1:26" ht="15">
      <c r="A61" s="88"/>
      <c r="B61" s="211">
        <f t="shared" ca="1" si="4"/>
        <v>46204</v>
      </c>
      <c r="C61" s="212" cm="1">
        <f t="array" aca="1" ref="C61" ca="1">IF(OR($B61="",$B61&gt;EOMONTH(TODAY(),0)),"",SUMPRODUCT((Tracker!$P$5:$P$356&gt;=$B61)*(Tracker!$P$5:$P$356&lt;EOMONTH($B61,0)+1)*(Tracker!$A$5:$A$356&lt;&gt;"")))</f>
        <v>18</v>
      </c>
      <c r="D61" s="212" cm="1">
        <f t="array" aca="1" ref="D61" ca="1">IF(OR($B61="",$B61&gt;EOMONTH(TODAY(),0)),"",SUMPRODUCT((Tracker!$P$5:$P$356&gt;=$B61)*(Tracker!$P$5:$P$356&lt;EOMONTH($B61,0)+1)*(Tracker!$I$5:$I$356)))</f>
        <v>126</v>
      </c>
      <c r="E61" s="211">
        <f t="shared" ca="1" si="5"/>
        <v>46204</v>
      </c>
      <c r="F61" s="212" cm="1">
        <f t="array" aca="1" ref="F61" ca="1">IF(OR($E61="",$E61&gt;EOMONTH(TODAY(),0)),"",SUMPRODUCT((Tracker!$N$5:$N$356&gt;=$E61)*(Tracker!$N$5:$N$356&lt;EOMONTH($E61,0)+1)*(Tracker!$L$5:$L$356="Approved")))</f>
        <v>14</v>
      </c>
      <c r="G61" s="212" cm="1">
        <f t="array" aca="1" ref="G61" ca="1">IF(OR($E61="",$E61&gt;EOMONTH(TODAY(),0)),"",SUMPRODUCT((Tracker!$N$5:$N$356&gt;=$E61)*(Tracker!$N$5:$N$356&lt;EOMONTH($E61,0)+1)*(Tracker!$L$5:$L$356="Approved")*(Tracker!$I$5:$I$356)))</f>
        <v>61</v>
      </c>
      <c r="H61" s="164"/>
      <c r="I61" s="88"/>
      <c r="J61" s="88"/>
      <c r="K61" s="88"/>
      <c r="L61" s="88"/>
      <c r="M61" s="88"/>
      <c r="N61" s="88"/>
      <c r="O61" s="88"/>
      <c r="P61" s="88"/>
      <c r="Q61" s="88"/>
      <c r="R61" s="117"/>
      <c r="S61" s="117"/>
      <c r="T61" s="117"/>
      <c r="U61" s="88"/>
      <c r="V61" s="88"/>
      <c r="W61" s="88"/>
      <c r="X61" s="88"/>
      <c r="Y61" s="88"/>
      <c r="Z61" s="88"/>
    </row>
    <row r="62" spans="1:26" ht="15">
      <c r="A62" s="88"/>
      <c r="B62" s="211">
        <f t="shared" ca="1" si="4"/>
        <v>46235</v>
      </c>
      <c r="C62" s="212" cm="1">
        <f t="array" aca="1" ref="C62" ca="1">IF(OR($B62="",$B62&gt;EOMONTH(TODAY(),0)),"",SUMPRODUCT((Tracker!$P$5:$P$356&gt;=$B62)*(Tracker!$P$5:$P$356&lt;EOMONTH($B62,0)+1)*(Tracker!$A$5:$A$356&lt;&gt;"")))</f>
        <v>0</v>
      </c>
      <c r="D62" s="212" cm="1">
        <f t="array" aca="1" ref="D62" ca="1">IF(OR($B62="",$B62&gt;EOMONTH(TODAY(),0)),"",SUMPRODUCT((Tracker!$P$5:$P$356&gt;=$B62)*(Tracker!$P$5:$P$356&lt;EOMONTH($B62,0)+1)*(Tracker!$I$5:$I$356)))</f>
        <v>0</v>
      </c>
      <c r="E62" s="211">
        <f t="shared" ca="1" si="5"/>
        <v>46235</v>
      </c>
      <c r="F62" s="212" cm="1">
        <f t="array" aca="1" ref="F62" ca="1">IF(OR($E62="",$E62&gt;EOMONTH(TODAY(),0)),"",SUMPRODUCT((Tracker!$N$5:$N$356&gt;=$E62)*(Tracker!$N$5:$N$356&lt;EOMONTH($E62,0)+1)*(Tracker!$L$5:$L$356="Approved")))</f>
        <v>0</v>
      </c>
      <c r="G62" s="212" cm="1">
        <f t="array" aca="1" ref="G62" ca="1">IF(OR($E62="",$E62&gt;EOMONTH(TODAY(),0)),"",SUMPRODUCT((Tracker!$N$5:$N$356&gt;=$E62)*(Tracker!$N$5:$N$356&lt;EOMONTH($E62,0)+1)*(Tracker!$L$5:$L$356="Approved")*(Tracker!$I$5:$I$356)))</f>
        <v>0</v>
      </c>
      <c r="H62" s="164"/>
      <c r="I62" s="88"/>
      <c r="J62" s="88"/>
      <c r="K62" s="88"/>
      <c r="L62" s="88"/>
      <c r="M62" s="88"/>
      <c r="N62" s="88"/>
      <c r="O62" s="88"/>
      <c r="P62" s="88"/>
      <c r="Q62" s="88"/>
      <c r="R62" s="117"/>
      <c r="S62" s="117"/>
      <c r="T62" s="117"/>
      <c r="U62" s="88"/>
      <c r="V62" s="88"/>
      <c r="W62" s="88"/>
      <c r="X62" s="88"/>
      <c r="Y62" s="88"/>
      <c r="Z62" s="88"/>
    </row>
    <row r="63" spans="1:26" ht="15">
      <c r="A63" s="88"/>
      <c r="B63" s="211" t="str">
        <f t="shared" ca="1" si="4"/>
        <v/>
      </c>
      <c r="C63" s="212" t="str" cm="1">
        <f t="array" aca="1" ref="C63" ca="1">IF(OR($B63="",$B63&gt;EOMONTH(TODAY(),0)),"",SUMPRODUCT((Tracker!$P$5:$P$356&gt;=$B63)*(Tracker!$P$5:$P$356&lt;EOMONTH($B63,0)+1)*(Tracker!$A$5:$A$356&lt;&gt;"")))</f>
        <v/>
      </c>
      <c r="D63" s="212" t="str" cm="1">
        <f t="array" aca="1" ref="D63" ca="1">IF(OR($B63="",$B63&gt;EOMONTH(TODAY(),0)),"",SUMPRODUCT((Tracker!$P$5:$P$356&gt;=$B63)*(Tracker!$P$5:$P$356&lt;EOMONTH($B63,0)+1)*(Tracker!$I$5:$I$356)))</f>
        <v/>
      </c>
      <c r="E63" s="211" t="str">
        <f t="shared" ca="1" si="5"/>
        <v/>
      </c>
      <c r="F63" s="212" t="str" cm="1">
        <f t="array" aca="1" ref="F63" ca="1">IF(OR($E63="",$E63&gt;EOMONTH(TODAY(),0)),"",SUMPRODUCT((Tracker!$N$5:$N$356&gt;=$E63)*(Tracker!$N$5:$N$356&lt;EOMONTH($E63,0)+1)*(Tracker!$L$5:$L$356="Approved")))</f>
        <v/>
      </c>
      <c r="G63" s="212" t="str" cm="1">
        <f t="array" aca="1" ref="G63" ca="1">IF(OR($E63="",$E63&gt;EOMONTH(TODAY(),0)),"",SUMPRODUCT((Tracker!$N$5:$N$356&gt;=$E63)*(Tracker!$N$5:$N$356&lt;EOMONTH($E63,0)+1)*(Tracker!$L$5:$L$356="Approved")*(Tracker!$I$5:$I$356)))</f>
        <v/>
      </c>
      <c r="H63" s="164"/>
      <c r="I63" s="88"/>
      <c r="J63" s="88"/>
      <c r="K63" s="88"/>
      <c r="L63" s="88"/>
      <c r="M63" s="88"/>
      <c r="N63" s="88"/>
      <c r="O63" s="88"/>
      <c r="P63" s="88"/>
      <c r="Q63" s="88"/>
      <c r="R63" s="117"/>
      <c r="S63" s="117"/>
      <c r="T63" s="117"/>
      <c r="U63" s="88"/>
      <c r="V63" s="88"/>
      <c r="W63" s="88"/>
      <c r="X63" s="88"/>
      <c r="Y63" s="88"/>
      <c r="Z63" s="88"/>
    </row>
    <row r="64" spans="1:26" ht="15">
      <c r="A64" s="164"/>
      <c r="B64" s="211" t="str">
        <f t="shared" ca="1" si="4"/>
        <v/>
      </c>
      <c r="C64" s="212" t="str" cm="1">
        <f t="array" aca="1" ref="C64" ca="1">IF(OR($B64="",$B64&gt;EOMONTH(TODAY(),0)),"",SUMPRODUCT((Tracker!$P$5:$P$356&gt;=$B64)*(Tracker!$P$5:$P$356&lt;EOMONTH($B64,0)+1)*(Tracker!$A$5:$A$356&lt;&gt;"")))</f>
        <v/>
      </c>
      <c r="D64" s="212" t="str" cm="1">
        <f t="array" aca="1" ref="D64" ca="1">IF(OR($B64="",$B64&gt;EOMONTH(TODAY(),0)),"",SUMPRODUCT((Tracker!$P$5:$P$356&gt;=$B64)*(Tracker!$P$5:$P$356&lt;EOMONTH($B64,0)+1)*(Tracker!$I$5:$I$356)))</f>
        <v/>
      </c>
      <c r="E64" s="211" t="str">
        <f t="shared" ca="1" si="5"/>
        <v/>
      </c>
      <c r="F64" s="212" t="str" cm="1">
        <f t="array" aca="1" ref="F64" ca="1">IF(OR($E64="",$E64&gt;EOMONTH(TODAY(),0)),"",SUMPRODUCT((Tracker!$N$5:$N$356&gt;=$E64)*(Tracker!$N$5:$N$356&lt;EOMONTH($E64,0)+1)*(Tracker!$L$5:$L$356="Approved")))</f>
        <v/>
      </c>
      <c r="G64" s="212" t="str" cm="1">
        <f t="array" aca="1" ref="G64" ca="1">IF(OR($E64="",$E64&gt;EOMONTH(TODAY(),0)),"",SUMPRODUCT((Tracker!$N$5:$N$356&gt;=$E64)*(Tracker!$N$5:$N$356&lt;EOMONTH($E64,0)+1)*(Tracker!$L$5:$L$356="Approved")*(Tracker!$I$5:$I$356)))</f>
        <v/>
      </c>
      <c r="H64" s="164"/>
      <c r="I64" s="164"/>
      <c r="J64" s="164"/>
      <c r="K64" s="164"/>
      <c r="L64" s="164"/>
      <c r="M64" s="164"/>
      <c r="N64" s="164"/>
      <c r="O64" s="164"/>
      <c r="P64" s="164"/>
      <c r="Q64" s="164"/>
      <c r="R64" s="164"/>
      <c r="S64" s="164"/>
      <c r="T64" s="164"/>
      <c r="U64" s="164"/>
      <c r="V64" s="164"/>
      <c r="W64" s="164"/>
      <c r="X64" s="164"/>
      <c r="Y64" s="164"/>
    </row>
    <row r="65" spans="1:25" ht="15">
      <c r="A65" s="164"/>
      <c r="B65" s="211" t="str">
        <f t="shared" ca="1" si="4"/>
        <v/>
      </c>
      <c r="C65" s="212" t="str" cm="1">
        <f t="array" aca="1" ref="C65" ca="1">IF(OR($B65="",$B65&gt;EOMONTH(TODAY(),0)),"",SUMPRODUCT((Tracker!$P$5:$P$356&gt;=$B65)*(Tracker!$P$5:$P$356&lt;EOMONTH($B65,0)+1)*(Tracker!$A$5:$A$356&lt;&gt;"")))</f>
        <v/>
      </c>
      <c r="D65" s="212" t="str" cm="1">
        <f t="array" aca="1" ref="D65" ca="1">IF(OR($B65="",$B65&gt;EOMONTH(TODAY(),0)),"",SUMPRODUCT((Tracker!$P$5:$P$356&gt;=$B65)*(Tracker!$P$5:$P$356&lt;EOMONTH($B65,0)+1)*(Tracker!$I$5:$I$356)))</f>
        <v/>
      </c>
      <c r="E65" s="211" t="str">
        <f t="shared" ca="1" si="5"/>
        <v/>
      </c>
      <c r="F65" s="212" t="str" cm="1">
        <f t="array" aca="1" ref="F65" ca="1">IF(OR($E65="",$E65&gt;EOMONTH(TODAY(),0)),"",SUMPRODUCT((Tracker!$N$5:$N$356&gt;=$E65)*(Tracker!$N$5:$N$356&lt;EOMONTH($E65,0)+1)*(Tracker!$L$5:$L$356="Approved")))</f>
        <v/>
      </c>
      <c r="G65" s="212" t="str" cm="1">
        <f t="array" aca="1" ref="G65" ca="1">IF(OR($E65="",$E65&gt;EOMONTH(TODAY(),0)),"",SUMPRODUCT((Tracker!$N$5:$N$356&gt;=$E65)*(Tracker!$N$5:$N$356&lt;EOMONTH($E65,0)+1)*(Tracker!$L$5:$L$356="Approved")*(Tracker!$I$5:$I$356)))</f>
        <v/>
      </c>
      <c r="H65" s="164"/>
      <c r="I65" s="164"/>
      <c r="J65" s="164"/>
      <c r="K65" s="164"/>
      <c r="L65" s="164"/>
      <c r="M65" s="164"/>
      <c r="N65" s="164"/>
      <c r="O65" s="164"/>
      <c r="P65" s="164"/>
      <c r="Q65" s="164"/>
      <c r="R65" s="164"/>
      <c r="S65" s="164"/>
      <c r="T65" s="164"/>
      <c r="U65" s="164"/>
      <c r="V65" s="164"/>
      <c r="W65" s="164"/>
      <c r="X65" s="164"/>
      <c r="Y65" s="164"/>
    </row>
    <row r="66" spans="1:25" ht="15">
      <c r="A66" s="164"/>
      <c r="B66" s="211" t="str">
        <f t="shared" ca="1" si="4"/>
        <v/>
      </c>
      <c r="C66" s="212" t="str" cm="1">
        <f t="array" aca="1" ref="C66" ca="1">IF(OR($B66="",$B66&gt;EOMONTH(TODAY(),0)),"",SUMPRODUCT((Tracker!$P$5:$P$356&gt;=$B66)*(Tracker!$P$5:$P$356&lt;EOMONTH($B66,0)+1)*(Tracker!$A$5:$A$356&lt;&gt;"")))</f>
        <v/>
      </c>
      <c r="D66" s="212" t="str" cm="1">
        <f t="array" aca="1" ref="D66" ca="1">IF(OR($B66="",$B66&gt;EOMONTH(TODAY(),0)),"",SUMPRODUCT((Tracker!$P$5:$P$356&gt;=$B66)*(Tracker!$P$5:$P$356&lt;EOMONTH($B66,0)+1)*(Tracker!$I$5:$I$356)))</f>
        <v/>
      </c>
      <c r="E66" s="211" t="str">
        <f t="shared" ca="1" si="5"/>
        <v/>
      </c>
      <c r="F66" s="212" t="str" cm="1">
        <f t="array" aca="1" ref="F66" ca="1">IF(OR($E66="",$E66&gt;EOMONTH(TODAY(),0)),"",SUMPRODUCT((Tracker!$N$5:$N$356&gt;=$E66)*(Tracker!$N$5:$N$356&lt;EOMONTH($E66,0)+1)*(Tracker!$L$5:$L$356="Approved")))</f>
        <v/>
      </c>
      <c r="G66" s="212" t="str" cm="1">
        <f t="array" aca="1" ref="G66" ca="1">IF(OR($E66="",$E66&gt;EOMONTH(TODAY(),0)),"",SUMPRODUCT((Tracker!$N$5:$N$356&gt;=$E66)*(Tracker!$N$5:$N$356&lt;EOMONTH($E66,0)+1)*(Tracker!$L$5:$L$356="Approved")*(Tracker!$I$5:$I$356)))</f>
        <v/>
      </c>
      <c r="H66" s="164"/>
      <c r="I66" s="164"/>
      <c r="J66" s="164"/>
      <c r="K66" s="164"/>
      <c r="L66" s="164"/>
      <c r="M66" s="164"/>
      <c r="N66" s="164"/>
      <c r="O66" s="164"/>
      <c r="P66" s="164"/>
      <c r="Q66" s="164"/>
      <c r="R66" s="164"/>
      <c r="S66" s="164"/>
      <c r="T66" s="164"/>
      <c r="U66" s="164"/>
      <c r="V66" s="164"/>
      <c r="W66" s="164"/>
      <c r="X66" s="164"/>
      <c r="Y66" s="164"/>
    </row>
    <row r="67" spans="1:25" ht="15">
      <c r="A67" s="164"/>
      <c r="B67" s="211" t="str">
        <f t="shared" ca="1" si="4"/>
        <v/>
      </c>
      <c r="C67" s="212" t="str" cm="1">
        <f t="array" aca="1" ref="C67" ca="1">IF(OR($B67="",$B67&gt;EOMONTH(TODAY(),0)),"",SUMPRODUCT((Tracker!$P$5:$P$356&gt;=$B67)*(Tracker!$P$5:$P$356&lt;EOMONTH($B67,0)+1)*(Tracker!$A$5:$A$356&lt;&gt;"")))</f>
        <v/>
      </c>
      <c r="D67" s="212" t="str" cm="1">
        <f t="array" aca="1" ref="D67" ca="1">IF(OR($B67="",$B67&gt;EOMONTH(TODAY(),0)),"",SUMPRODUCT((Tracker!$P$5:$P$356&gt;=$B67)*(Tracker!$P$5:$P$356&lt;EOMONTH($B67,0)+1)*(Tracker!$I$5:$I$356)))</f>
        <v/>
      </c>
      <c r="E67" s="211" t="str">
        <f t="shared" ca="1" si="5"/>
        <v/>
      </c>
      <c r="F67" s="212" t="str" cm="1">
        <f t="array" aca="1" ref="F67" ca="1">IF(OR($E67="",$E67&gt;EOMONTH(TODAY(),0)),"",SUMPRODUCT((Tracker!$N$5:$N$356&gt;=$E67)*(Tracker!$N$5:$N$356&lt;EOMONTH($E67,0)+1)*(Tracker!$L$5:$L$356="Approved")))</f>
        <v/>
      </c>
      <c r="G67" s="212" t="str" cm="1">
        <f t="array" aca="1" ref="G67" ca="1">IF(OR($E67="",$E67&gt;EOMONTH(TODAY(),0)),"",SUMPRODUCT((Tracker!$N$5:$N$356&gt;=$E67)*(Tracker!$N$5:$N$356&lt;EOMONTH($E67,0)+1)*(Tracker!$L$5:$L$356="Approved")*(Tracker!$I$5:$I$356)))</f>
        <v/>
      </c>
      <c r="H67" s="164"/>
      <c r="I67" s="164"/>
      <c r="J67" s="164"/>
      <c r="K67" s="164"/>
      <c r="L67" s="164"/>
      <c r="M67" s="164"/>
      <c r="N67" s="164"/>
      <c r="O67" s="164"/>
      <c r="P67" s="164"/>
      <c r="Q67" s="164"/>
      <c r="R67" s="164"/>
      <c r="S67" s="164"/>
      <c r="T67" s="164"/>
      <c r="U67" s="164"/>
      <c r="V67" s="164"/>
      <c r="W67" s="164"/>
      <c r="X67" s="164"/>
      <c r="Y67" s="164"/>
    </row>
    <row r="68" spans="1:25" ht="15">
      <c r="A68" s="164"/>
      <c r="B68" s="211" t="str">
        <f t="shared" ca="1" si="4"/>
        <v/>
      </c>
      <c r="C68" s="212" t="str" cm="1">
        <f t="array" aca="1" ref="C68" ca="1">IF(OR($B68="",$B68&gt;EOMONTH(TODAY(),0)),"",SUMPRODUCT((Tracker!$P$5:$P$356&gt;=$B68)*(Tracker!$P$5:$P$356&lt;EOMONTH($B68,0)+1)*(Tracker!$A$5:$A$356&lt;&gt;"")))</f>
        <v/>
      </c>
      <c r="D68" s="212" t="str" cm="1">
        <f t="array" aca="1" ref="D68" ca="1">IF(OR($B68="",$B68&gt;EOMONTH(TODAY(),0)),"",SUMPRODUCT((Tracker!$P$5:$P$356&gt;=$B68)*(Tracker!$P$5:$P$356&lt;EOMONTH($B68,0)+1)*(Tracker!$I$5:$I$356)))</f>
        <v/>
      </c>
      <c r="E68" s="211" t="str">
        <f t="shared" ca="1" si="5"/>
        <v/>
      </c>
      <c r="F68" s="212" t="str" cm="1">
        <f t="array" aca="1" ref="F68" ca="1">IF(OR($E68="",$E68&gt;EOMONTH(TODAY(),0)),"",SUMPRODUCT((Tracker!$N$5:$N$356&gt;=$E68)*(Tracker!$N$5:$N$356&lt;EOMONTH($E68,0)+1)*(Tracker!$L$5:$L$356="Approved")))</f>
        <v/>
      </c>
      <c r="G68" s="212" t="str" cm="1">
        <f t="array" aca="1" ref="G68" ca="1">IF(OR($E68="",$E68&gt;EOMONTH(TODAY(),0)),"",SUMPRODUCT((Tracker!$N$5:$N$356&gt;=$E68)*(Tracker!$N$5:$N$356&lt;EOMONTH($E68,0)+1)*(Tracker!$L$5:$L$356="Approved")*(Tracker!$I$5:$I$356)))</f>
        <v/>
      </c>
      <c r="H68" s="164"/>
      <c r="I68" s="164"/>
      <c r="J68" s="164"/>
      <c r="K68" s="164"/>
      <c r="L68" s="164"/>
      <c r="M68" s="164"/>
      <c r="N68" s="164"/>
      <c r="O68" s="164"/>
      <c r="P68" s="164"/>
      <c r="Q68" s="164"/>
      <c r="R68" s="164"/>
      <c r="S68" s="164"/>
      <c r="T68" s="164"/>
      <c r="U68" s="164"/>
      <c r="V68" s="164"/>
      <c r="W68" s="164"/>
      <c r="X68" s="164"/>
      <c r="Y68" s="164"/>
    </row>
    <row r="69" spans="1:25" ht="15">
      <c r="A69" s="164"/>
      <c r="B69" s="215" t="s">
        <v>719</v>
      </c>
      <c r="C69" s="216">
        <f ca="1">SUM(C57:C68)</f>
        <v>98</v>
      </c>
      <c r="D69" s="216">
        <f ca="1">SUM(D57:D68)</f>
        <v>587</v>
      </c>
      <c r="E69" s="215" t="s">
        <v>719</v>
      </c>
      <c r="F69" s="216">
        <f ca="1">SUM(F57:F68)</f>
        <v>113</v>
      </c>
      <c r="G69" s="216">
        <f ca="1">SUM(G57:G68)</f>
        <v>507</v>
      </c>
      <c r="H69" s="164"/>
      <c r="I69" s="164"/>
      <c r="J69" s="164"/>
      <c r="K69" s="164"/>
      <c r="L69" s="164"/>
      <c r="M69" s="164"/>
      <c r="N69" s="164"/>
      <c r="O69" s="164"/>
      <c r="P69" s="164"/>
      <c r="Q69" s="164"/>
      <c r="R69" s="164"/>
      <c r="S69" s="164"/>
      <c r="T69" s="164"/>
      <c r="U69" s="164"/>
      <c r="V69" s="164"/>
      <c r="W69" s="164"/>
      <c r="X69" s="164"/>
      <c r="Y69" s="164"/>
    </row>
    <row r="70" spans="1:25">
      <c r="A70" s="164"/>
      <c r="B70" s="164"/>
      <c r="C70" s="164"/>
      <c r="D70" s="164"/>
      <c r="E70" s="164"/>
      <c r="F70" s="164"/>
      <c r="G70" s="164"/>
      <c r="H70" s="164"/>
      <c r="I70" s="164"/>
      <c r="J70" s="164"/>
      <c r="K70" s="164"/>
      <c r="L70" s="164"/>
      <c r="M70" s="164"/>
      <c r="N70" s="164"/>
      <c r="O70" s="164"/>
      <c r="P70" s="164"/>
      <c r="Q70" s="164"/>
      <c r="R70" s="164"/>
      <c r="S70" s="164"/>
      <c r="T70" s="164"/>
      <c r="U70" s="164"/>
      <c r="V70" s="164"/>
      <c r="W70" s="164"/>
      <c r="X70" s="164"/>
      <c r="Y70" s="164"/>
    </row>
    <row r="71" spans="1:25">
      <c r="A71" s="164"/>
      <c r="B71" s="254" t="str">
        <f ca="1">"🔄  Dashboard auto-update — Last data: "&amp;TEXT(MAX(Tracker!K5:K356),"DD-MM-JJJJ")&amp;" | Updated: "&amp;TEXT(NOW(),"DD-MM-JJJJ UU:MM")</f>
        <v>🔄  Dashboard auto-update — Last data: 17-07-2026 | Updated: 11-08-2026 12:26</v>
      </c>
      <c r="C71" s="278"/>
      <c r="D71" s="278"/>
      <c r="E71" s="278"/>
      <c r="F71" s="278"/>
      <c r="G71" s="164"/>
      <c r="H71" s="164"/>
      <c r="I71" s="164"/>
      <c r="J71" s="164"/>
      <c r="K71" s="164"/>
      <c r="L71" s="164"/>
      <c r="M71" s="164"/>
      <c r="N71" s="164"/>
      <c r="O71" s="164"/>
      <c r="P71" s="164"/>
      <c r="Q71" s="164"/>
      <c r="R71" s="164"/>
      <c r="S71" s="164"/>
      <c r="T71" s="164"/>
      <c r="U71" s="164"/>
      <c r="V71" s="164"/>
      <c r="W71" s="164"/>
      <c r="X71" s="164"/>
      <c r="Y71" s="164"/>
    </row>
    <row r="72" spans="1:25">
      <c r="A72" s="164"/>
      <c r="B72" s="164"/>
      <c r="C72" s="164"/>
      <c r="D72" s="164"/>
      <c r="E72" s="164"/>
      <c r="F72" s="164"/>
      <c r="G72" s="164"/>
      <c r="H72" s="164"/>
      <c r="I72" s="164"/>
      <c r="J72" s="164"/>
      <c r="K72" s="164"/>
      <c r="L72" s="164"/>
      <c r="M72" s="164"/>
      <c r="N72" s="164"/>
      <c r="O72" s="164"/>
      <c r="P72" s="164"/>
      <c r="Q72" s="164"/>
      <c r="R72" s="164"/>
      <c r="S72" s="164"/>
      <c r="T72" s="164"/>
      <c r="U72" s="164"/>
      <c r="V72" s="164"/>
      <c r="W72" s="164"/>
      <c r="X72" s="164"/>
      <c r="Y72" s="164"/>
    </row>
  </sheetData>
  <mergeCells count="24">
    <mergeCell ref="B18:L18"/>
    <mergeCell ref="B26:F26"/>
    <mergeCell ref="H26:L26"/>
    <mergeCell ref="K8:L8"/>
    <mergeCell ref="B10:F10"/>
    <mergeCell ref="H10:L10"/>
    <mergeCell ref="K11:L11"/>
    <mergeCell ref="E11:F11"/>
    <mergeCell ref="B71:F71"/>
    <mergeCell ref="B2:L2"/>
    <mergeCell ref="B3:L3"/>
    <mergeCell ref="B6:C6"/>
    <mergeCell ref="B7:C7"/>
    <mergeCell ref="B8:C8"/>
    <mergeCell ref="E6:F6"/>
    <mergeCell ref="E7:F7"/>
    <mergeCell ref="E8:F8"/>
    <mergeCell ref="H6:I6"/>
    <mergeCell ref="H7:I7"/>
    <mergeCell ref="B40:F40"/>
    <mergeCell ref="H40:L40"/>
    <mergeCell ref="H8:I8"/>
    <mergeCell ref="K6:L6"/>
    <mergeCell ref="K7:L7"/>
  </mergeCells>
  <pageMargins left="0.7" right="0.7" top="0.75" bottom="0.75" header="0.3" footer="0.3"/>
  <drawing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_activity xmlns="014a5d37-d36b-4c4d-b777-3af255cbcc1c" xsi:nil="true"/>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8AB23D11BA098A438EAA9C59D4239FE7" ma:contentTypeVersion="15" ma:contentTypeDescription="Een nieuw document maken." ma:contentTypeScope="" ma:versionID="6df55890d0c354a31fad1c782736e0f1">
  <xsd:schema xmlns:xsd="http://www.w3.org/2001/XMLSchema" xmlns:xs="http://www.w3.org/2001/XMLSchema" xmlns:p="http://schemas.microsoft.com/office/2006/metadata/properties" xmlns:ns3="014a5d37-d36b-4c4d-b777-3af255cbcc1c" xmlns:ns4="4f9fe492-c23c-418c-865d-c2eae8cc2bc3" targetNamespace="http://schemas.microsoft.com/office/2006/metadata/properties" ma:root="true" ma:fieldsID="aa2d2c7bcb01e5bebab120f4866ebd5f" ns3:_="" ns4:_="">
    <xsd:import namespace="014a5d37-d36b-4c4d-b777-3af255cbcc1c"/>
    <xsd:import namespace="4f9fe492-c23c-418c-865d-c2eae8cc2bc3"/>
    <xsd:element name="properties">
      <xsd:complexType>
        <xsd:sequence>
          <xsd:element name="documentManagement">
            <xsd:complexType>
              <xsd:all>
                <xsd:element ref="ns3:MediaServiceMetadata" minOccurs="0"/>
                <xsd:element ref="ns3:MediaServiceFastMetadata" minOccurs="0"/>
                <xsd:element ref="ns3:MediaServiceObjectDetectorVersions" minOccurs="0"/>
                <xsd:element ref="ns3:_activity" minOccurs="0"/>
                <xsd:element ref="ns3:MediaServiceSystemTags" minOccurs="0"/>
                <xsd:element ref="ns3:MediaServiceGenerationTime" minOccurs="0"/>
                <xsd:element ref="ns3:MediaServiceEventHashCode" minOccurs="0"/>
                <xsd:element ref="ns3:MediaLengthInSeconds" minOccurs="0"/>
                <xsd:element ref="ns4:SharedWithUsers" minOccurs="0"/>
                <xsd:element ref="ns4:SharedWithDetails" minOccurs="0"/>
                <xsd:element ref="ns4:SharingHintHash" minOccurs="0"/>
                <xsd:element ref="ns3:MediaServiceSearchProperties" minOccurs="0"/>
                <xsd:element ref="ns3:MediaServiceDateTaken" minOccurs="0"/>
                <xsd:element ref="ns3:MediaServiceOCR" minOccurs="0"/>
                <xsd:element ref="ns3:MediaServiceLocatio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014a5d37-d36b-4c4d-b777-3af255cbcc1c"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bjectDetectorVersions" ma:index="10" nillable="true" ma:displayName="MediaServiceObjectDetectorVersions" ma:hidden="true" ma:indexed="true" ma:internalName="MediaServiceObjectDetectorVersions" ma:readOnly="true">
      <xsd:simpleType>
        <xsd:restriction base="dms:Text"/>
      </xsd:simpleType>
    </xsd:element>
    <xsd:element name="_activity" ma:index="11" nillable="true" ma:displayName="_activity" ma:hidden="true" ma:internalName="_activity">
      <xsd:simpleType>
        <xsd:restriction base="dms:Note"/>
      </xsd:simpleType>
    </xsd:element>
    <xsd:element name="MediaServiceSystemTags" ma:index="12" nillable="true" ma:displayName="MediaServiceSystemTags" ma:hidden="true" ma:internalName="MediaServiceSystemTags" ma:readOnly="true">
      <xsd:simpleType>
        <xsd:restriction base="dms:Note"/>
      </xsd:simpleType>
    </xsd:element>
    <xsd:element name="MediaServiceGenerationTime" ma:index="13" nillable="true" ma:displayName="MediaServiceGenerationTime" ma:hidden="true" ma:internalName="MediaServiceGenerationTime" ma:readOnly="true">
      <xsd:simpleType>
        <xsd:restriction base="dms:Text"/>
      </xsd:simpleType>
    </xsd:element>
    <xsd:element name="MediaServiceEventHashCode" ma:index="14" nillable="true" ma:displayName="MediaServiceEventHashCode" ma:hidden="true" ma:internalName="MediaServiceEventHashCode" ma:readOnly="true">
      <xsd:simpleType>
        <xsd:restriction base="dms:Text"/>
      </xsd:simpleType>
    </xsd:element>
    <xsd:element name="MediaLengthInSeconds" ma:index="15" nillable="true" ma:displayName="MediaLengthInSeconds" ma:hidden="true" ma:internalName="MediaLengthInSeconds" ma:readOnly="true">
      <xsd:simpleType>
        <xsd:restriction base="dms:Unknown"/>
      </xsd:simpleType>
    </xsd:element>
    <xsd:element name="MediaServiceSearchProperties" ma:index="19" nillable="true" ma:displayName="MediaServiceSearchProperties" ma:hidden="true" ma:internalName="MediaServiceSearchProperties" ma:readOnly="true">
      <xsd:simpleType>
        <xsd:restriction base="dms:Note"/>
      </xsd:simpleType>
    </xsd:element>
    <xsd:element name="MediaServiceDateTaken" ma:index="20" nillable="true" ma:displayName="MediaServiceDateTaken" ma:hidden="true" ma:indexed="true" ma:internalName="MediaServiceDateTaken" ma:readOnly="true">
      <xsd:simpleType>
        <xsd:restriction base="dms:Text"/>
      </xsd:simpleType>
    </xsd:element>
    <xsd:element name="MediaServiceOCR" ma:index="21" nillable="true" ma:displayName="Extracted Text" ma:internalName="MediaServiceOCR" ma:readOnly="true">
      <xsd:simpleType>
        <xsd:restriction base="dms:Note">
          <xsd:maxLength value="255"/>
        </xsd:restriction>
      </xsd:simpleType>
    </xsd:element>
    <xsd:element name="MediaServiceLocation" ma:index="22" nillable="true" ma:displayName="Location" ma:indexed="true" ma:internalName="MediaServiceLocation"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4f9fe492-c23c-418c-865d-c2eae8cc2bc3" elementFormDefault="qualified">
    <xsd:import namespace="http://schemas.microsoft.com/office/2006/documentManagement/types"/>
    <xsd:import namespace="http://schemas.microsoft.com/office/infopath/2007/PartnerControls"/>
    <xsd:element name="SharedWithUsers" ma:index="16" nillable="true" ma:displayName="Gedeeld met"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7" nillable="true" ma:displayName="Gedeeld met details" ma:internalName="SharedWithDetails" ma:readOnly="true">
      <xsd:simpleType>
        <xsd:restriction base="dms:Note">
          <xsd:maxLength value="255"/>
        </xsd:restriction>
      </xsd:simpleType>
    </xsd:element>
    <xsd:element name="SharingHintHash" ma:index="18" nillable="true" ma:displayName="Hint-hash delen" ma:hidden="true" ma:internalName="SharingHintHash"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Inhoudstype"/>
        <xsd:element ref="dc:title" minOccurs="0" maxOccurs="1" ma:index="4" ma:displayName="Titel"/>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33D8C677-7779-4E11-82D2-66159FEF17D6}"/>
</file>

<file path=customXml/itemProps2.xml><?xml version="1.0" encoding="utf-8"?>
<ds:datastoreItem xmlns:ds="http://schemas.openxmlformats.org/officeDocument/2006/customXml" ds:itemID="{179FCF9D-ED4A-4DC6-85E9-4162C2E4500E}"/>
</file>

<file path=customXml/itemProps3.xml><?xml version="1.0" encoding="utf-8"?>
<ds:datastoreItem xmlns:ds="http://schemas.openxmlformats.org/officeDocument/2006/customXml" ds:itemID="{8306B0EC-51D4-4B4C-8C3B-A3A90A9813DA}"/>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cp:keywords/>
  <dc:description/>
  <cp:lastModifiedBy/>
  <cp:revision>0</cp:revision>
  <dcterms:created xsi:type="dcterms:W3CDTF">2026-03-06T11:33:35Z</dcterms:created>
  <dcterms:modified xsi:type="dcterms:W3CDTF">2026-08-11T10:26:09Z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0x0101008AB23D11BA098A438EAA9C59D4239FE7</vt:lpwstr>
  </property>
</Properties>
</file>